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21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pr1" sheetId="117" r:id="rId23"/>
    <sheet name="ppr4" sheetId="123" r:id="rId24"/>
    <sheet name="ppr5" sheetId="125" r:id="rId25"/>
    <sheet name="ppr6" sheetId="127" r:id="rId26"/>
    <sheet name="ppr7" sheetId="129" r:id="rId27"/>
    <sheet name="pid1" sheetId="133" r:id="rId28"/>
    <sheet name="ppr2" sheetId="134" r:id="rId29"/>
    <sheet name="pid2" sheetId="135" r:id="rId30"/>
    <sheet name="ppr3" sheetId="136" r:id="rId31"/>
    <sheet name="pid3" sheetId="137" r:id="rId32"/>
    <sheet name="pid4" sheetId="138" r:id="rId33"/>
    <sheet name="pid5" sheetId="139" r:id="rId34"/>
    <sheet name="pid6" sheetId="140" r:id="rId35"/>
    <sheet name="pid7" sheetId="141" r:id="rId36"/>
    <sheet name="1" sheetId="143" r:id="rId37"/>
    <sheet name="2" sheetId="144" r:id="rId38"/>
    <sheet name="3" sheetId="145" r:id="rId39"/>
    <sheet name="4" sheetId="146" r:id="rId40"/>
    <sheet name="5" sheetId="147" r:id="rId41"/>
    <sheet name="6" sheetId="148" r:id="rId42"/>
    <sheet name="7" sheetId="149" r:id="rId43"/>
  </sheets>
  <functionGroups builtInGroupCount="18"/>
  <definedNames>
    <definedName name="website1" localSheetId="33">'pid5'!$A$1:$A$18</definedName>
    <definedName name="website1" localSheetId="24">'ppr5'!$A$1:$A$186</definedName>
    <definedName name="website1_1" localSheetId="33">'pid5'!$A$1:$A$18</definedName>
    <definedName name="website1_1" localSheetId="24">'ppr5'!$A$1:$A$186</definedName>
    <definedName name="website1_2" localSheetId="33">'pid5'!$A$1:$A$7</definedName>
    <definedName name="website1_2" localSheetId="24">'ppr5'!$A$1:$A$186</definedName>
    <definedName name="website1_3" localSheetId="33">'pid5'!$A$1:$A$18</definedName>
    <definedName name="website1_3" localSheetId="24">'ppr5'!$A$1:$A$186</definedName>
    <definedName name="website1_4" localSheetId="24">'ppr5'!$A$1:$A$186</definedName>
    <definedName name="website1_5" localSheetId="24">'ppr5'!$A$1:$A$186</definedName>
    <definedName name="website2" localSheetId="34">'pid6'!$A$1:$A$18</definedName>
    <definedName name="website2" localSheetId="25">'ppr6'!$A$1:$A$186</definedName>
    <definedName name="website2_1" localSheetId="34">'pid6'!$A$1:$A$18</definedName>
    <definedName name="website2_1" localSheetId="25">'ppr6'!$A$1:$A$186</definedName>
    <definedName name="website2_2" localSheetId="34">'pid6'!$A$1:$A$7</definedName>
    <definedName name="website2_2" localSheetId="25">'ppr6'!$A$1:$A$186</definedName>
    <definedName name="website2_3" localSheetId="34">'pid6'!$A$1:$A$18</definedName>
    <definedName name="website2_3" localSheetId="25">'ppr6'!$A$1:$A$186</definedName>
    <definedName name="website2_4" localSheetId="25">'ppr6'!$A$1:$A$186</definedName>
    <definedName name="website2_5" localSheetId="25">'ppr6'!$A$1:$A$186</definedName>
    <definedName name="website27" localSheetId="27">'pid1'!$A$1:$A$18</definedName>
    <definedName name="website27" localSheetId="22">'ppr1'!$A$1:$A$186</definedName>
    <definedName name="website27_1" localSheetId="27">'pid1'!$A$1:$A$18</definedName>
    <definedName name="website27_1" localSheetId="22">'ppr1'!$A$1:$A$186</definedName>
    <definedName name="website27_2" localSheetId="27">'pid1'!$A$1:$A$7</definedName>
    <definedName name="website27_2" localSheetId="22">'ppr1'!$A$1:$A$186</definedName>
    <definedName name="website27_3" localSheetId="27">'pid1'!$A$1:$A$18</definedName>
    <definedName name="website27_3" localSheetId="22">'ppr1'!$A$1:$A$186</definedName>
    <definedName name="website27_4" localSheetId="22">'ppr1'!$A$1:$A$186</definedName>
    <definedName name="website27_5" localSheetId="22">'ppr1'!$A$1:$A$186</definedName>
    <definedName name="website28" localSheetId="29">'pid2'!$A$1:$A$18</definedName>
    <definedName name="website28" localSheetId="28">'ppr2'!$A$1:$A$186</definedName>
    <definedName name="website28_1" localSheetId="29">'pid2'!$A$1:$A$18</definedName>
    <definedName name="website28_1" localSheetId="28">'ppr2'!$A$1:$A$186</definedName>
    <definedName name="website28_2" localSheetId="29">'pid2'!$A$1:$A$7</definedName>
    <definedName name="website28_2" localSheetId="28">'ppr2'!$A$1:$A$186</definedName>
    <definedName name="website28_3" localSheetId="29">'pid2'!$A$1:$A$18</definedName>
    <definedName name="website29" localSheetId="31">'pid3'!$A$1:$A$18</definedName>
    <definedName name="website29" localSheetId="30">'ppr3'!$A$1:$A$186</definedName>
    <definedName name="website29_1" localSheetId="31">'pid3'!$A$1:$A$18</definedName>
    <definedName name="website29_1" localSheetId="30">'ppr3'!$A$1:$A$186</definedName>
    <definedName name="website29_2" localSheetId="31">'pid3'!$A$1:$A$7</definedName>
    <definedName name="website29_2" localSheetId="30">'ppr3'!$A$1:$A$186</definedName>
    <definedName name="website29_3" localSheetId="31">'pid3'!$A$1:$A$18</definedName>
    <definedName name="website3" localSheetId="35">'pid7'!$A$1:$A$18</definedName>
    <definedName name="website3" localSheetId="26">'ppr7'!$A$1:$A$186</definedName>
    <definedName name="website3_1" localSheetId="35">'pid7'!$A$1:$A$18</definedName>
    <definedName name="website3_1" localSheetId="26">'ppr7'!$A$1:$A$186</definedName>
    <definedName name="website3_2" localSheetId="35">'pid7'!$A$1:$A$7</definedName>
    <definedName name="website3_2" localSheetId="26">'ppr7'!$A$1:$A$186</definedName>
    <definedName name="website3_3" localSheetId="35">'pid7'!$A$1:$A$18</definedName>
    <definedName name="website3_3" localSheetId="26">'ppr7'!$A$1:$A$186</definedName>
    <definedName name="website3_4" localSheetId="26">'ppr7'!$A$1:$A$186</definedName>
    <definedName name="website3_5" localSheetId="26">'ppr7'!$A$1:$A$186</definedName>
    <definedName name="website30" localSheetId="32">'pid4'!$A$1:$A$18</definedName>
    <definedName name="website30" localSheetId="23">'ppr4'!$A$1:$A$186</definedName>
    <definedName name="website30_1" localSheetId="32">'pid4'!$A$1:$A$18</definedName>
    <definedName name="website30_1" localSheetId="23">'ppr4'!$A$1:$A$186</definedName>
    <definedName name="website30_2" localSheetId="32">'pid4'!$A$1:$A$7</definedName>
    <definedName name="website30_2" localSheetId="23">'ppr4'!$A$1:$A$186</definedName>
    <definedName name="website30_3" localSheetId="32">'pid4'!$A$1:$A$18</definedName>
    <definedName name="website30_3" localSheetId="23">'ppr4'!$A$1:$A$186</definedName>
    <definedName name="website30_4" localSheetId="23">'ppr4'!$A$1:$A$186</definedName>
    <definedName name="website30_5" localSheetId="23">'ppr4'!$A$1:$A$186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" name="Connection1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2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" name="Connection14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6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" name="Connection1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" name="Connection18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4" name="Connection2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" name="Connection22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2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" name="Connection24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" name="Connection26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2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" name="Connection28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" name="Connection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3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" name="Connection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" name="Connection33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" name="Connection3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3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" name="Connection36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" name="Connection37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3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" name="Connection40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" name="Connection4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" name="Connection4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" name="Connection44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" name="Connection4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" name="Connection46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" name="Connection48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" name="Connection4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" name="Connection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50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" name="Connection5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" name="Connection52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" name="Connection54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" name="Connection55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" name="Connection56" type="4" refreshedVersion="6" background="1" saveData="1">
    <webPr sourceData="1" parsePre="1" consecutive="1" xl2000="1" url="https://monitorportal.amazon.com/mws?Action=GetGraph&amp;Version=2007-07-07&amp;SchemaName1=Service&amp;DataSet1=Prod&amp;Marketplace1=KRB1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" name="Connection5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5" name="Connection5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6" name="Connection5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" name="Connection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8" name="Connection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9" name="Connection6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0" name="Connection6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1" name="Connection6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2" name="Connection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3" name="Connection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4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<sst xmlns="http://schemas.openxmlformats.org/spreadsheetml/2006/main" count="8573" uniqueCount="474">
  <si>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</si>
  <si>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</si>
  <si>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</si>
  <si>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</si>
  <si>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</si>
  <si>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</si>
  <si>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</si>
  <si>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</si>
  <si>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</si>
  <si>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</si>
  <si>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</si>
  <si>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</si>
  <si>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</si>
  <si>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</si>
  <si>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</si>
  <si>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</si>
  <si>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</si>
  <si>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</si>
  <si>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</si>
  <si>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</si>
  <si>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</si>
  <si>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</si>
  <si>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</si>
  <si>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</si>
  <si>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</si>
  <si>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</si>
  <si>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</si>
  <si>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</si>
  <si>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</si>
  <si>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</si>
  <si>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</si>
  <si>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</si>
  <si>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</si>
  <si>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</si>
  <si>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</si>
  <si>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</si>
  <si>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</si>
  <si>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</si>
  <si>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</si>
  <si>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</si>
  <si>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</si>
  <si>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</si>
  <si>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</si>
  <si>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</si>
  <si>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</si>
  <si>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</si>
  <si>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</si>
  <si>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</si>
  <si>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</si>
  <si>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</si>
  <si>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</si>
  <si>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</si>
  <si>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</si>
  <si>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</si>
  <si>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</si>
  <si>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</si>
  <si>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</si>
  <si>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</si>
  <si>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</si>
  <si>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</si>
  <si>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</si>
  <si>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</si>
  <si>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</si>
  <si>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</si>
  <si>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</si>
  <si>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</si>
  <si>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</si>
  <si>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</si>
  <si>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</si>
  <si>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</si>
  <si>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</si>
  <si>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</si>
  <si>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</si>
  <si>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</si>
  <si>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</si>
  <si>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</si>
  <si>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</si>
  <si>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</si>
  <si>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</si>
  <si>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</si>
  <si>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</si>
  <si>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</si>
  <si>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</si>
  <si>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</si>
  <si>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</si>
  <si>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</si>
  <si>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</si>
  <si>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</si>
  <si>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</si>
  <si>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</si>
  <si>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</si>
  <si>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</si>
  <si>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</si>
  <si>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</si>
  <si>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</si>
  <si>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</si>
  <si>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</si>
  <si>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</si>
  <si>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</si>
  <si>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</si>
  <si>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</si>
  <si>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</si>
  <si>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</si>
  <si>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</si>
  <si>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</si>
  <si>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</si>
  <si>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</si>
  <si>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</si>
  <si>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</si>
  <si>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</si>
  <si>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</si>
  <si>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</si>
  <si>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</si>
  <si>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</si>
  <si>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</si>
  <si>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</si>
  <si>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</si>
  <si>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</si>
  <si>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</si>
  <si>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</si>
  <si>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</si>
  <si>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</si>
  <si>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</si>
  <si>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</si>
  <si>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</si>
  <si>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</si>
  <si>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</si>
  <si>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</si>
  <si>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</si>
  <si>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</si>
  <si>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</si>
  <si>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</si>
  <si>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</si>
  <si>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</si>
  <si>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</si>
  <si>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</si>
  <si>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</si>
  <si>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</si>
  <si>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</si>
  <si>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</si>
  <si>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</si>
  <si>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</si>
  <si>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</si>
  <si>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</si>
  <si>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</si>
  <si>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</si>
  <si>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</si>
  <si>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</si>
  <si>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</si>
  <si>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</si>
  <si>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</si>
  <si>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</si>
  <si>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</si>
  <si>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</si>
  <si>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</si>
  <si>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</si>
  <si>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</si>
  <si>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</si>
  <si>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</si>
  <si>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</si>
  <si>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</si>
  <si>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</si>
  <si>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</si>
  <si>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</si>
  <si>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</si>
  <si>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</si>
  <si>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</si>
  <si>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</si>
  <si>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</si>
  <si>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</si>
  <si>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</si>
  <si>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</si>
  <si>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</si>
  <si>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</si>
  <si>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</si>
  <si>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</si>
  <si>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</si>
  <si>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</si>
  <si>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</si>
  <si>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</si>
  <si>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</si>
  <si>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</si>
  <si>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</si>
  <si>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</si>
  <si>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</si>
  <si>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</si>
  <si>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</si>
  <si>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</si>
  <si>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</si>
  <si>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</si>
  <si>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</si>
  <si>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</si>
  <si>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</si>
  <si>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</si>
  <si>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</si>
  <si>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</si>
  <si>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</si>
  <si>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</si>
  <si>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</si>
  <si>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</si>
  <si>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</si>
  <si>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</si>
  <si>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</si>
  <si>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</si>
  <si>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</si>
  <si>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</si>
  <si>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</si>
  <si>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</si>
  <si>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</si>
  <si>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</si>
  <si>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</si>
  <si>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</si>
  <si>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</si>
  <si>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</si>
  <si>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</si>
  <si>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</si>
  <si>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</si>
  <si>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</si>
  <si>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</si>
  <si>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</si>
  <si>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</si>
  <si>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</si>
  <si>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</si>
  <si>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</si>
  <si>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</si>
  <si>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</si>
  <si>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</si>
  <si>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</si>
  <si>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</si>
  <si>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</si>
  <si>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</si>
  <si>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</si>
  <si>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</si>
  <si>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</si>
  <si>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</si>
  <si>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</si>
  <si>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</si>
  <si>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</si>
  <si>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</si>
  <si>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</si>
  <si>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</si>
  <si>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</si>
  <si>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</si>
  <si>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</si>
  <si>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</si>
  <si>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</si>
  <si>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</si>
  <si>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</si>
  <si>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</si>
  <si>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</si>
  <si>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</si>
  <si>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</si>
  <si>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</si>
  <si>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</si>
  <si>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</si>
  <si>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</si>
  <si>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</si>
  <si>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</si>
  <si>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</si>
  <si>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</si>
  <si>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</si>
  <si>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</si>
  <si>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</si>
  <si>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</si>
  <si>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</si>
  <si>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</si>
  <si>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</si>
  <si>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</si>
  <si>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</si>
  <si>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</si>
  <si>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</si>
  <si>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</si>
  <si>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</si>
  <si>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</si>
  <si>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</si>
  <si>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</si>
  <si>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</si>
  <si>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</si>
  <si>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</si>
  <si>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</si>
  <si>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</si>
  <si>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</si>
  <si>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</si>
  <si>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</si>
  <si>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</si>
  <si>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</si>
  <si>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</si>
  <si>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</si>
  <si>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</si>
  <si>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</si>
  <si>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</si>
  <si>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</si>
  <si>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</si>
  <si>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</si>
  <si>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</si>
  <si>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</si>
  <si>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</si>
  <si>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</si>
  <si>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</si>
  <si>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</si>
  <si>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</si>
  <si>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</si>
  <si>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</si>
  <si>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</si>
  <si>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</si>
  <si>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</si>
  <si>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</si>
  <si>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</si>
  <si>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</si>
  <si>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</si>
  <si>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</si>
  <si>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</si>
  <si>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</si>
  <si>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</si>
  <si>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</si>
  <si>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</si>
  <si>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</si>
  <si>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</si>
  <si>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</si>
  <si>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</si>
  <si>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</si>
  <si>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</si>
  <si>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</si>
  <si>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</si>
  <si>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</si>
  <si>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</si>
  <si>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</si>
  <si>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</si>
  <si>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</si>
  <si>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</si>
  <si>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</si>
  <si>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</si>
  <si>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</si>
  <si>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</si>
  <si>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</si>
  <si>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</si>
  <si>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</si>
  <si>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</si>
  <si>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</si>
  <si>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</si>
  <si>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</si>
  <si>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</si>
  <si>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</si>
  <si>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</si>
  <si>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</si>
  <si>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</si>
  <si>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</si>
  <si>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</si>
  <si>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</si>
  <si>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</si>
  <si>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</si>
  <si>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</si>
  <si>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</si>
  <si>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</si>
  <si>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</si>
  <si>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</si>
  <si>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</si>
  <si>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</si>
  <si>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</si>
  <si>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</si>
  <si>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</si>
  <si>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</si>
  <si>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</si>
  <si>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</si>
  <si>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</si>
  <si>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</si>
  <si>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</si>
  <si>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</si>
  <si>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</si>
  <si>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</si>
  <si>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</si>
  <si>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</si>
  <si>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</si>
  <si>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</si>
  <si>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</si>
  <si>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</si>
  <si>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</si>
  <si>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</si>
  <si>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</si>
  <si>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</si>
  <si>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</si>
  <si>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</si>
  <si>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</si>
  <si>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</si>
  <si>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</si>
  <si>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</si>
  <si>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</si>
  <si>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</si>
  <si>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</si>
  <si>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</si>
  <si>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</si>
  <si>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</si>
  <si>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</si>
  <si>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</si>
  <si>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</si>
  <si>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</si>
  <si>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</si>
  <si>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</si>
  <si>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</si>
  <si>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</si>
  <si>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</si>
  <si>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</si>
  <si>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</si>
  <si>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</si>
  <si>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</si>
  <si>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</si>
  <si>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</si>
  <si>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</si>
  <si>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</si>
  <si>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</si>
  <si>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</si>
  <si>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</si>
  <si>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</si>
  <si>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</si>
  <si>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</si>
  <si>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</si>
  <si>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</si>
  <si>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</si>
  <si>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</si>
  <si>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</si>
  <si>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</si>
  <si>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</si>
  <si>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</si>
  <si>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</si>
  <si>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</si>
  <si>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</si>
  <si>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</si>
  <si>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</si>
  <si>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</si>
  <si>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</si>
  <si>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</si>
  <si>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</si>
  <si>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</si>
  <si>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</si>
  <si>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</si>
  <si>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</si>
  <si>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</si>
  <si>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</si>
  <si>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</si>
  <si>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</si>
  <si>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</si>
  <si>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</si>
  <si>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</si>
  <si>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</si>
  <si>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</si>
  <si>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</si>
  <si>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</si>
  <si>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</si>
  <si>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</si>
  <si>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</si>
  <si>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Inputs</t>
  </si>
  <si>
    <t>Start date for report</t>
  </si>
  <si>
    <t>*Wednesday is considered to be Back Half (BH) this week</t>
  </si>
  <si>
    <t>* Wednesday is considered to be Front Half (FH) this week</t>
  </si>
  <si>
    <t>Id</t>
  </si>
  <si>
    <t>Label=AVG (avg: {avg})</t>
  </si>
  <si>
    <t>Label</t>
  </si>
  <si>
    <t>AVG (avg: 394.00)</t>
  </si>
  <si>
    <t>Result</t>
  </si>
  <si>
    <t>MetricData</t>
  </si>
  <si>
    <t>Min</t>
  </si>
  <si>
    <t>Avg</t>
  </si>
  <si>
    <t>Max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</si>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</sst>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566395</xdr:colOff>
      <xdr:row>2</xdr:row>
      <xdr:rowOff>117363</xdr:rowOff>
    </xdr:from>
    <xdr:to>
      <xdr:col>21</xdr:col>
      <xdr:colOff>267040</xdr:colOff>
      <xdr:row>5</xdr:row>
      <xdr:rowOff>136072</xdr:rowOff>
    </xdr:to>
    <xdr:sp macro="[0]!openWebsites" textlink="">
      <xdr:nvSpPr>
        <xdr:cNvPr id="11" name="Rectangle 10"/>
        <xdr:cNvSpPr/>
      </xdr:nvSpPr>
      <xdr:spPr>
        <a:xfrm>
          <a:off x="13792538" y="498363"/>
          <a:ext cx="2381252" cy="60381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35220"/>
          <a:ext cx="337344" cy="1268412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376715"/>
          <a:ext cx="337346" cy="1297216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146050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12700</xdr:rowOff>
        </xdr:from>
        <xdr:to>
          <xdr:col>5</xdr:col>
          <xdr:colOff>133350</xdr:colOff>
          <xdr:row>5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2" growShrinkType="overwriteClear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5" growShrinkType="overwriteClear" connectionId="3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4" growShrinkType="overwriteClear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30_2" growShrinkType="overwriteClear" connectionId="2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30_1" growShrinkType="overwriteClear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30" growShrinkType="overwriteClear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30_5" growShrinkType="overwriteClear" connectionId="4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30_4" growShrinkType="overwriteClear" connectionId="2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30_3" growShrinkType="overwriteClear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1_1" growShrinkType="overwriteClear" connectionId="1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1" growShrinkType="overwriteClear" connectionId="6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_5" growShrinkType="overwriteClear" connectionId="4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1_4" growShrinkType="overwriteClear" connectionId="2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1_3" growShrinkType="overwriteClear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1_2" growShrinkType="overwriteClear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" growShrinkType="overwriteClear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_5" growShrinkType="overwriteClear" connectionId="5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_4" growShrinkType="overwriteClear" connectionId="3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_3" growShrinkType="overwriteClear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_2" growShrinkType="overwriteClear" connectionId="3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_1" growShrinkType="overwriteClear" connectionId="1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3_5" growShrinkType="overwriteClear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3_4" growShrinkType="overwriteClear" connectionId="3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3_3" growShrinkType="overwriteClear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3_2" growShrinkType="overwriteClear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3_1" growShrinkType="overwriteClear" connectionId="2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3" growShrinkType="overwriteClear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7_2" growShrinkType="overwriteClear" connectionId="4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7_1" growShrinkType="overwriteClear" connectionId="1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7" growShrinkType="overwriteClear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7_3" growShrinkType="overwriteClear" connectionId="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8" growShrinkType="overwriteClear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8_2" growShrinkType="overwriteClear" connectionId="4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8_1" growShrinkType="overwriteClear" connectionId="1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8" growShrinkType="overwriteClear" connectionId="3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8_3" growShrinkType="overwriteClear" connectionId="5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8_2" growShrinkType="overwriteClear" connectionId="4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8_1" growShrinkType="overwriteClear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9_1" growShrinkType="overwriteClear" connectionId="2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9" growShrinkType="overwriteClear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9_2" growShrinkType="overwriteClear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9_2" growShrinkType="overwriteClear" connectionId="4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9_1" growShrinkType="overwriteClear" connectionId="2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9" growShrinkType="overwriteClear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9_3" growShrinkType="overwriteClear" connectionId="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30_2" growShrinkType="overwriteClear" connectionId="4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30_1" growShrinkType="overwriteClear" connectionId="2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30" growShrinkType="overwriteClear" connectionId="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" growShrinkType="overwriteClear" connectionId="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_3" growShrinkType="overwriteClear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_2" growShrinkType="overwriteClear" connectionId="4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_1" growShrinkType="overwriteClear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_1" growShrinkType="overwriteClear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" growShrinkType="overwriteClear" connectionId="1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_3" growShrinkType="overwriteClear" connectionId="6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_2" growShrinkType="overwriteClear" connectionId="5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3_2" growShrinkType="overwriteClear" connectionId="5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3_1" growShrinkType="overwriteClear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3" growShrinkType="overwriteClear" connectionId="1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3_3" growShrinkType="overwriteClear" connectionId="6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Relationship Id="rId6" Type="http://schemas.openxmlformats.org/officeDocument/2006/relationships/queryTable" Target="../queryTables/queryTable1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Relationship Id="rId6" Type="http://schemas.openxmlformats.org/officeDocument/2006/relationships/queryTable" Target="../queryTables/queryTable18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queryTable" Target="../queryTables/queryTable25.xm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queryTable" Target="../queryTables/queryTable31.xml"/><Relationship Id="rId4" Type="http://schemas.openxmlformats.org/officeDocument/2006/relationships/queryTable" Target="../queryTables/queryTable3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queryTable" Target="../queryTables/queryTable3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queryTable" Target="../queryTables/queryTable38.xml"/><Relationship Id="rId4" Type="http://schemas.openxmlformats.org/officeDocument/2006/relationships/queryTable" Target="../queryTables/queryTable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queryTable" Target="../queryTables/queryTable4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queryTable" Target="../queryTables/queryTable45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queryTable" Target="../queryTables/queryTable49.xml"/><Relationship Id="rId4" Type="http://schemas.openxmlformats.org/officeDocument/2006/relationships/queryTable" Target="../queryTables/queryTable5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queryTable" Target="../queryTables/queryTable53.xml"/><Relationship Id="rId4" Type="http://schemas.openxmlformats.org/officeDocument/2006/relationships/queryTable" Target="../queryTables/queryTable5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queryTable" Target="../queryTables/queryTable57.xml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queryTable" Target="../queryTables/queryTable61.xml"/><Relationship Id="rId4" Type="http://schemas.openxmlformats.org/officeDocument/2006/relationships/queryTable" Target="../queryTables/queryTable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A7" sqref="A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70" zoomScaleNormal="70" workbookViewId="0">
      <selection activeCell="D2" sqref="D2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79" t="s">
        <v>450</v>
      </c>
      <c r="S1" s="99"/>
      <c r="T1" s="99"/>
      <c r="U1" s="99"/>
      <c r="V1" s="99"/>
    </row>
    <row r="2" spans="1:23" x14ac:dyDescent="0.35">
      <c r="A2" s="82" t="s">
        <v>451</v>
      </c>
      <c r="B2" s="80">
        <v>44102</v>
      </c>
    </row>
    <row r="3" spans="1:23" ht="16" x14ac:dyDescent="0.4">
      <c r="A3" s="83" t="s">
        <v>32</v>
      </c>
      <c r="B3" s="81" t="s">
        <v>31</v>
      </c>
      <c r="Q3" s="74" t="s">
        <v>30</v>
      </c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394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 t="str">
        <f t="shared" si="0"/>
        <v/>
      </c>
      <c r="H10" s="40">
        <f t="shared" si="0"/>
        <v>11.975</v>
      </c>
      <c r="I10" s="53" t="str">
        <f t="shared" si="0"/>
        <v/>
      </c>
      <c r="J10" s="55" t="str">
        <f t="shared" si="0"/>
        <v/>
      </c>
      <c r="K10" s="40">
        <f t="shared" si="0"/>
        <v>80334.5</v>
      </c>
      <c r="L10" s="40" t="str">
        <f t="shared" si="0"/>
        <v/>
      </c>
      <c r="M10" s="40" t="str">
        <f t="shared" si="0"/>
        <v/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394</v>
      </c>
      <c r="D11" s="40">
        <f t="shared" si="1"/>
        <v>63.300000000000004</v>
      </c>
      <c r="E11" s="40">
        <f t="shared" si="1"/>
        <v>294.5333333333333</v>
      </c>
      <c r="F11" s="40">
        <f t="shared" si="1"/>
        <v>89432.666666666672</v>
      </c>
      <c r="G11" s="40" t="str">
        <f t="shared" si="1"/>
        <v/>
      </c>
      <c r="H11" s="40">
        <f t="shared" si="1"/>
        <v>16.466666666666665</v>
      </c>
      <c r="I11" s="53" t="str">
        <f t="shared" si="1"/>
        <v/>
      </c>
      <c r="J11" s="55" t="str">
        <f t="shared" si="1"/>
        <v/>
      </c>
      <c r="K11" s="40">
        <f t="shared" si="1"/>
        <v>73236</v>
      </c>
      <c r="L11" s="40" t="str">
        <f t="shared" si="1"/>
        <v/>
      </c>
      <c r="M11" s="40" t="str">
        <f t="shared" si="1"/>
        <v/>
      </c>
      <c r="N11" s="40">
        <f t="shared" si="1"/>
        <v>1064.5333333333335</v>
      </c>
      <c r="O11" s="40">
        <f t="shared" si="1"/>
        <v>150.20000000000002</v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0</v>
      </c>
      <c r="D12" s="48">
        <f t="shared" si="2"/>
        <v>0.57499999999999574</v>
      </c>
      <c r="E12" s="48">
        <f t="shared" si="2"/>
        <v>33.18333333333328</v>
      </c>
      <c r="F12" s="48">
        <f t="shared" si="2"/>
        <v>23529.666666666672</v>
      </c>
      <c r="G12" s="48" t="str">
        <f t="shared" si="2"/>
        <v/>
      </c>
      <c r="H12" s="48">
        <f t="shared" si="2"/>
        <v>4.4916666666666654</v>
      </c>
      <c r="I12" s="62" t="str">
        <f t="shared" si="2"/>
        <v/>
      </c>
      <c r="J12" s="64" t="str">
        <f t="shared" si="2"/>
        <v/>
      </c>
      <c r="K12" s="48">
        <f t="shared" si="2"/>
        <v>7098.5</v>
      </c>
      <c r="L12" s="48" t="str">
        <f t="shared" si="2"/>
        <v/>
      </c>
      <c r="M12" s="48" t="str">
        <f t="shared" si="2"/>
        <v/>
      </c>
      <c r="N12" s="48">
        <f t="shared" si="2"/>
        <v>138.44166666666638</v>
      </c>
      <c r="O12" s="48">
        <f t="shared" si="2"/>
        <v>29.549999999999983</v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44102</v>
      </c>
      <c r="B14" s="42">
        <v>1650.1</v>
      </c>
      <c r="C14" s="42">
        <v>394</v>
      </c>
      <c r="D14" s="42">
        <v>55.1</v>
      </c>
      <c r="E14" s="42">
        <v>264.10000000000002</v>
      </c>
      <c r="F14" s="43">
        <v>58660</v>
      </c>
      <c r="G14" s="42"/>
      <c r="H14" s="42">
        <v>11</v>
      </c>
      <c r="I14" s="56"/>
      <c r="J14" s="59"/>
      <c r="K14" s="43">
        <v>85405</v>
      </c>
      <c r="L14" s="42"/>
      <c r="M14" s="42"/>
      <c r="N14" s="42">
        <v>1079.7</v>
      </c>
      <c r="O14" s="42">
        <v>181.4</v>
      </c>
      <c r="P14" s="42"/>
      <c r="Q14" s="34"/>
      <c r="U14" s="38"/>
    </row>
    <row r="15" spans="1:23" x14ac:dyDescent="0.35">
      <c r="A15" s="51">
        <f t="shared" ref="A15:A20" si="3">A14+1</f>
        <v>44103</v>
      </c>
      <c r="B15" s="42">
        <v>1749</v>
      </c>
      <c r="C15" s="42">
        <v>394</v>
      </c>
      <c r="D15" s="42">
        <v>74.599999999999994</v>
      </c>
      <c r="E15" s="42">
        <v>228.6</v>
      </c>
      <c r="F15" s="43">
        <v>52761</v>
      </c>
      <c r="G15" s="42"/>
      <c r="H15" s="42">
        <v>10.3</v>
      </c>
      <c r="I15" s="56"/>
      <c r="J15" s="59"/>
      <c r="K15" s="43">
        <v>78257</v>
      </c>
      <c r="L15" s="42"/>
      <c r="M15" s="42"/>
      <c r="N15" s="42">
        <v>1074.5999999999999</v>
      </c>
      <c r="O15" s="42">
        <v>176.1</v>
      </c>
      <c r="P15" s="42"/>
      <c r="Q15" s="34"/>
      <c r="R15" s="38"/>
      <c r="U15" s="38"/>
    </row>
    <row r="16" spans="1:23" x14ac:dyDescent="0.35">
      <c r="A16" s="51">
        <f t="shared" si="3"/>
        <v>44104</v>
      </c>
      <c r="B16" s="42">
        <v>1387.3</v>
      </c>
      <c r="C16" s="42">
        <v>394</v>
      </c>
      <c r="D16" s="42">
        <v>66.3</v>
      </c>
      <c r="E16" s="42">
        <v>298.5</v>
      </c>
      <c r="F16" s="43">
        <v>88113</v>
      </c>
      <c r="G16" s="42"/>
      <c r="H16" s="42">
        <v>10.7</v>
      </c>
      <c r="I16" s="56"/>
      <c r="J16" s="59"/>
      <c r="K16" s="43">
        <v>78728</v>
      </c>
      <c r="L16" s="42"/>
      <c r="M16" s="42"/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44105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/>
      <c r="H17" s="46">
        <v>15.9</v>
      </c>
      <c r="I17" s="57"/>
      <c r="J17" s="60"/>
      <c r="K17" s="47">
        <v>78948</v>
      </c>
      <c r="L17" s="46"/>
      <c r="M17" s="46"/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44106</v>
      </c>
      <c r="B18" s="44">
        <v>4767.2</v>
      </c>
      <c r="C18" s="44">
        <v>394</v>
      </c>
      <c r="D18" s="44">
        <v>71.599999999999994</v>
      </c>
      <c r="E18" s="44">
        <v>464</v>
      </c>
      <c r="F18" s="45">
        <v>147069</v>
      </c>
      <c r="G18" s="44"/>
      <c r="H18" s="44">
        <v>25.3</v>
      </c>
      <c r="I18" s="58"/>
      <c r="J18" s="61"/>
      <c r="K18" s="45">
        <v>76481</v>
      </c>
      <c r="L18" s="44"/>
      <c r="M18" s="44"/>
      <c r="N18" s="44">
        <v>1284</v>
      </c>
      <c r="O18" s="44">
        <v>156.6</v>
      </c>
      <c r="P18" s="44"/>
      <c r="Q18" s="34"/>
      <c r="R18" s="38"/>
      <c r="U18" s="38"/>
    </row>
    <row r="19" spans="1:21" x14ac:dyDescent="0.35">
      <c r="A19" s="51">
        <f t="shared" si="3"/>
        <v>44107</v>
      </c>
      <c r="B19" s="44">
        <v>3193.9</v>
      </c>
      <c r="C19" s="44">
        <v>394</v>
      </c>
      <c r="D19" s="44">
        <v>46.9</v>
      </c>
      <c r="E19" s="44">
        <v>225.4</v>
      </c>
      <c r="F19" s="45">
        <v>61165</v>
      </c>
      <c r="G19" s="44"/>
      <c r="H19" s="44">
        <v>15.7</v>
      </c>
      <c r="I19" s="58"/>
      <c r="J19" s="61"/>
      <c r="K19" s="45">
        <v>73257</v>
      </c>
      <c r="L19" s="44"/>
      <c r="M19" s="44"/>
      <c r="N19" s="44">
        <v>921.4</v>
      </c>
      <c r="O19" s="44">
        <v>147.6</v>
      </c>
      <c r="P19" s="44"/>
      <c r="Q19" s="34"/>
      <c r="R19" s="38"/>
      <c r="U19" s="38"/>
    </row>
    <row r="20" spans="1:21" x14ac:dyDescent="0.35">
      <c r="A20" s="51">
        <f t="shared" si="3"/>
        <v>44108</v>
      </c>
      <c r="B20" s="44">
        <v>1549.8</v>
      </c>
      <c r="C20" s="44">
        <v>394</v>
      </c>
      <c r="D20" s="44">
        <v>71.400000000000006</v>
      </c>
      <c r="E20" s="44">
        <v>194.2</v>
      </c>
      <c r="F20" s="45">
        <v>60064</v>
      </c>
      <c r="G20" s="44"/>
      <c r="H20" s="44">
        <v>8.4</v>
      </c>
      <c r="I20" s="58"/>
      <c r="J20" s="61"/>
      <c r="K20" s="45">
        <v>69970</v>
      </c>
      <c r="L20" s="44"/>
      <c r="M20" s="44"/>
      <c r="N20" s="44">
        <v>988.2</v>
      </c>
      <c r="O20" s="44">
        <v>146.4</v>
      </c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2380.6142857142854</v>
      </c>
      <c r="C23" s="48">
        <f>IFERROR(AVERAGE(C14:C20),"")</f>
        <v>394</v>
      </c>
      <c r="D23" s="48">
        <f>IFERROR(AVERAGE(D14:D20),"")</f>
        <v>63.628571428571426</v>
      </c>
      <c r="E23" s="48">
        <f>IFERROR(AVERAGE(E14:E20),"")</f>
        <v>275.57142857142861</v>
      </c>
      <c r="F23" s="48">
        <f t="shared" si="4"/>
        <v>75987.142857142855</v>
      </c>
      <c r="G23" s="48" t="str">
        <f t="shared" si="4"/>
        <v/>
      </c>
      <c r="H23" s="48">
        <f t="shared" si="4"/>
        <v>13.900000000000002</v>
      </c>
      <c r="I23" s="62" t="str">
        <f t="shared" si="4"/>
        <v/>
      </c>
      <c r="J23" s="64" t="str">
        <f>IFERROR(AVERAGE(J14:J20),"")</f>
        <v/>
      </c>
      <c r="K23" s="48">
        <f>IFERROR(AVERAGE(K14:K20),"")</f>
        <v>77292.28571428571</v>
      </c>
      <c r="L23" s="48" t="str">
        <f>IFERROR(AVERAGE(L14:L20),"")</f>
        <v/>
      </c>
      <c r="M23" s="48" t="str">
        <f>IFERROR(AVERAGE(M14:M20),"")</f>
        <v/>
      </c>
      <c r="N23" s="48">
        <f t="shared" si="4"/>
        <v>1143.6428571428571</v>
      </c>
      <c r="O23" s="48">
        <f>IFERROR(AVERAGE(O14:O20),"")</f>
        <v>167.08571428571432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453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1595.4666666666665</v>
      </c>
      <c r="C30" s="40">
        <f t="shared" si="6"/>
        <v>394</v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 t="str">
        <f t="shared" si="6"/>
        <v/>
      </c>
      <c r="H30" s="40">
        <f t="shared" si="6"/>
        <v>10.666666666666666</v>
      </c>
      <c r="I30" s="53" t="str">
        <f t="shared" si="6"/>
        <v/>
      </c>
      <c r="J30" s="55" t="str">
        <f t="shared" si="6"/>
        <v/>
      </c>
      <c r="K30" s="40">
        <f t="shared" si="6"/>
        <v>80796.666666666672</v>
      </c>
      <c r="L30" s="40" t="str">
        <f t="shared" si="6"/>
        <v/>
      </c>
      <c r="M30" s="40" t="str">
        <f t="shared" si="6"/>
        <v/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7">IFERROR(AVERAGE(C$37:C$40),"")</f>
        <v>394</v>
      </c>
      <c r="D31" s="40">
        <f t="shared" si="7"/>
        <v>62.35</v>
      </c>
      <c r="E31" s="40">
        <f t="shared" si="7"/>
        <v>284.45</v>
      </c>
      <c r="F31" s="40">
        <f t="shared" si="7"/>
        <v>83094</v>
      </c>
      <c r="G31" s="40" t="str">
        <f t="shared" si="7"/>
        <v/>
      </c>
      <c r="H31" s="40">
        <f t="shared" si="7"/>
        <v>16.325000000000003</v>
      </c>
      <c r="I31" s="53" t="str">
        <f t="shared" si="7"/>
        <v/>
      </c>
      <c r="J31" s="55" t="str">
        <f t="shared" si="7"/>
        <v/>
      </c>
      <c r="K31" s="40">
        <f t="shared" si="7"/>
        <v>74664</v>
      </c>
      <c r="L31" s="40" t="str">
        <f t="shared" si="7"/>
        <v/>
      </c>
      <c r="M31" s="40" t="str">
        <f t="shared" si="7"/>
        <v/>
      </c>
      <c r="N31" s="40">
        <f t="shared" si="7"/>
        <v>1185.125</v>
      </c>
      <c r="O31" s="40">
        <f t="shared" si="7"/>
        <v>155.79999999999998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1374.0083333333334</v>
      </c>
      <c r="C32" s="48">
        <f t="shared" si="8"/>
        <v>0</v>
      </c>
      <c r="D32" s="48">
        <f t="shared" si="8"/>
        <v>2.9833333333333272</v>
      </c>
      <c r="E32" s="48">
        <f t="shared" si="8"/>
        <v>20.71666666666664</v>
      </c>
      <c r="F32" s="48">
        <f t="shared" si="8"/>
        <v>16582.666666666672</v>
      </c>
      <c r="G32" s="48" t="str">
        <f t="shared" si="8"/>
        <v/>
      </c>
      <c r="H32" s="48">
        <f t="shared" si="8"/>
        <v>5.6583333333333368</v>
      </c>
      <c r="I32" s="62" t="str">
        <f t="shared" si="8"/>
        <v/>
      </c>
      <c r="J32" s="64" t="str">
        <f t="shared" si="8"/>
        <v/>
      </c>
      <c r="K32" s="48">
        <f t="shared" si="8"/>
        <v>6132.6666666666715</v>
      </c>
      <c r="L32" s="48" t="str">
        <f t="shared" si="8"/>
        <v/>
      </c>
      <c r="M32" s="48" t="str">
        <f t="shared" si="8"/>
        <v/>
      </c>
      <c r="N32" s="48">
        <f t="shared" si="8"/>
        <v>96.791666666666742</v>
      </c>
      <c r="O32" s="48">
        <f t="shared" si="8"/>
        <v>26.333333333333343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44102</v>
      </c>
      <c r="B34" s="42">
        <f>IF(B14=0, "", B14)</f>
        <v>1650.1</v>
      </c>
      <c r="C34" s="42">
        <f>IF(C14=0, "", C14)</f>
        <v>394</v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 t="str">
        <f t="shared" si="10"/>
        <v/>
      </c>
      <c r="H34" s="42">
        <f t="shared" si="10"/>
        <v>11</v>
      </c>
      <c r="I34" s="42" t="str">
        <f t="shared" si="10"/>
        <v/>
      </c>
      <c r="J34" s="42" t="str">
        <f t="shared" si="10"/>
        <v/>
      </c>
      <c r="K34" s="42">
        <f t="shared" si="10"/>
        <v>85405</v>
      </c>
      <c r="L34" s="42" t="str">
        <f t="shared" si="10"/>
        <v/>
      </c>
      <c r="M34" s="42" t="str">
        <f t="shared" si="10"/>
        <v/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x14ac:dyDescent="0.35">
      <c r="A35" s="51">
        <f t="shared" si="9"/>
        <v>44103</v>
      </c>
      <c r="B35" s="42">
        <f>IF(B15=0, "", B15)</f>
        <v>1749</v>
      </c>
      <c r="C35" s="42">
        <f t="shared" ref="C35:P35" si="11">IF(C15=0, "", C15)</f>
        <v>394</v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 t="str">
        <f t="shared" si="11"/>
        <v/>
      </c>
      <c r="H35" s="42">
        <f t="shared" si="11"/>
        <v>10.3</v>
      </c>
      <c r="I35" s="42" t="str">
        <f t="shared" si="11"/>
        <v/>
      </c>
      <c r="J35" s="42" t="str">
        <f t="shared" si="11"/>
        <v/>
      </c>
      <c r="K35" s="42">
        <f t="shared" si="11"/>
        <v>78257</v>
      </c>
      <c r="L35" s="42" t="str">
        <f t="shared" si="11"/>
        <v/>
      </c>
      <c r="M35" s="42" t="str">
        <f t="shared" si="11"/>
        <v/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x14ac:dyDescent="0.35">
      <c r="A36" s="51">
        <f t="shared" si="9"/>
        <v>44104</v>
      </c>
      <c r="B36" s="42">
        <f t="shared" ref="B36:P40" si="12">IF(B16=0, "", B16)</f>
        <v>1387.3</v>
      </c>
      <c r="C36" s="42">
        <f t="shared" si="12"/>
        <v>394</v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 t="str">
        <f t="shared" si="12"/>
        <v/>
      </c>
      <c r="H36" s="42">
        <f t="shared" si="12"/>
        <v>10.7</v>
      </c>
      <c r="I36" s="42" t="str">
        <f t="shared" si="12"/>
        <v/>
      </c>
      <c r="J36" s="42" t="str">
        <f t="shared" si="12"/>
        <v/>
      </c>
      <c r="K36" s="42">
        <f t="shared" si="12"/>
        <v>78728</v>
      </c>
      <c r="L36" s="42" t="str">
        <f t="shared" si="12"/>
        <v/>
      </c>
      <c r="M36" s="42" t="str">
        <f t="shared" si="12"/>
        <v/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x14ac:dyDescent="0.35">
      <c r="A37" s="51">
        <f t="shared" si="9"/>
        <v>44105</v>
      </c>
      <c r="B37" s="84">
        <f t="shared" si="12"/>
        <v>2367</v>
      </c>
      <c r="C37" s="84">
        <f t="shared" si="12"/>
        <v>394</v>
      </c>
      <c r="D37" s="84">
        <f t="shared" si="12"/>
        <v>59.5</v>
      </c>
      <c r="E37" s="84">
        <f t="shared" si="12"/>
        <v>254.2</v>
      </c>
      <c r="F37" s="84">
        <f t="shared" si="12"/>
        <v>64078</v>
      </c>
      <c r="G37" s="84" t="str">
        <f t="shared" si="12"/>
        <v/>
      </c>
      <c r="H37" s="84">
        <f t="shared" si="12"/>
        <v>15.9</v>
      </c>
      <c r="I37" s="84" t="str">
        <f t="shared" si="12"/>
        <v/>
      </c>
      <c r="J37" s="84" t="str">
        <f t="shared" si="12"/>
        <v/>
      </c>
      <c r="K37" s="84">
        <f t="shared" si="12"/>
        <v>78948</v>
      </c>
      <c r="L37" s="84" t="str">
        <f t="shared" si="12"/>
        <v/>
      </c>
      <c r="M37" s="84" t="str">
        <f t="shared" si="12"/>
        <v/>
      </c>
      <c r="N37" s="84">
        <f t="shared" si="12"/>
        <v>1546.9</v>
      </c>
      <c r="O37" s="84">
        <f t="shared" si="12"/>
        <v>172.6</v>
      </c>
      <c r="P37" s="84" t="str">
        <f t="shared" si="12"/>
        <v/>
      </c>
      <c r="Q37" s="34"/>
    </row>
    <row r="38" spans="1:18" x14ac:dyDescent="0.35">
      <c r="A38" s="51">
        <f t="shared" si="9"/>
        <v>44106</v>
      </c>
      <c r="B38" s="44">
        <f t="shared" si="12"/>
        <v>4767.2</v>
      </c>
      <c r="C38" s="44">
        <f t="shared" si="12"/>
        <v>394</v>
      </c>
      <c r="D38" s="44">
        <f t="shared" si="12"/>
        <v>71.599999999999994</v>
      </c>
      <c r="E38" s="44">
        <f t="shared" si="12"/>
        <v>464</v>
      </c>
      <c r="F38" s="44">
        <f t="shared" si="12"/>
        <v>147069</v>
      </c>
      <c r="G38" s="44" t="str">
        <f t="shared" si="12"/>
        <v/>
      </c>
      <c r="H38" s="44">
        <f t="shared" si="12"/>
        <v>25.3</v>
      </c>
      <c r="I38" s="44" t="str">
        <f t="shared" si="12"/>
        <v/>
      </c>
      <c r="J38" s="44" t="str">
        <f t="shared" si="12"/>
        <v/>
      </c>
      <c r="K38" s="44">
        <f t="shared" si="12"/>
        <v>76481</v>
      </c>
      <c r="L38" s="44" t="str">
        <f t="shared" si="12"/>
        <v/>
      </c>
      <c r="M38" s="44" t="str">
        <f t="shared" si="12"/>
        <v/>
      </c>
      <c r="N38" s="44">
        <f t="shared" si="12"/>
        <v>1284</v>
      </c>
      <c r="O38" s="44">
        <f t="shared" si="12"/>
        <v>156.6</v>
      </c>
      <c r="P38" s="44" t="str">
        <f t="shared" si="12"/>
        <v/>
      </c>
      <c r="Q38" s="34"/>
    </row>
    <row r="39" spans="1:18" x14ac:dyDescent="0.35">
      <c r="A39" s="51">
        <f t="shared" si="9"/>
        <v>44107</v>
      </c>
      <c r="B39" s="44">
        <f t="shared" si="12"/>
        <v>3193.9</v>
      </c>
      <c r="C39" s="44">
        <f t="shared" si="12"/>
        <v>394</v>
      </c>
      <c r="D39" s="44">
        <f t="shared" si="12"/>
        <v>46.9</v>
      </c>
      <c r="E39" s="44">
        <f t="shared" si="12"/>
        <v>225.4</v>
      </c>
      <c r="F39" s="44">
        <f t="shared" si="12"/>
        <v>61165</v>
      </c>
      <c r="G39" s="44" t="str">
        <f t="shared" si="12"/>
        <v/>
      </c>
      <c r="H39" s="44">
        <f t="shared" si="12"/>
        <v>15.7</v>
      </c>
      <c r="I39" s="44" t="str">
        <f t="shared" si="12"/>
        <v/>
      </c>
      <c r="J39" s="44" t="str">
        <f t="shared" si="12"/>
        <v/>
      </c>
      <c r="K39" s="44">
        <f t="shared" si="12"/>
        <v>73257</v>
      </c>
      <c r="L39" s="44" t="str">
        <f t="shared" si="12"/>
        <v/>
      </c>
      <c r="M39" s="44" t="str">
        <f t="shared" si="12"/>
        <v/>
      </c>
      <c r="N39" s="44">
        <f t="shared" si="12"/>
        <v>921.4</v>
      </c>
      <c r="O39" s="44">
        <f t="shared" si="12"/>
        <v>147.6</v>
      </c>
      <c r="P39" s="44" t="str">
        <f t="shared" si="12"/>
        <v/>
      </c>
      <c r="Q39" s="34"/>
    </row>
    <row r="40" spans="1:18" x14ac:dyDescent="0.35">
      <c r="A40" s="51">
        <f t="shared" si="9"/>
        <v>44108</v>
      </c>
      <c r="B40" s="44">
        <f t="shared" si="12"/>
        <v>1549.8</v>
      </c>
      <c r="C40" s="44">
        <f t="shared" si="12"/>
        <v>394</v>
      </c>
      <c r="D40" s="44">
        <f t="shared" si="12"/>
        <v>71.400000000000006</v>
      </c>
      <c r="E40" s="44">
        <f t="shared" si="12"/>
        <v>194.2</v>
      </c>
      <c r="F40" s="44">
        <f t="shared" si="12"/>
        <v>60064</v>
      </c>
      <c r="G40" s="44" t="str">
        <f t="shared" si="12"/>
        <v/>
      </c>
      <c r="H40" s="44">
        <f t="shared" si="12"/>
        <v>8.4</v>
      </c>
      <c r="I40" s="44" t="str">
        <f t="shared" si="12"/>
        <v/>
      </c>
      <c r="J40" s="44" t="str">
        <f t="shared" si="12"/>
        <v/>
      </c>
      <c r="K40" s="44">
        <f t="shared" si="12"/>
        <v>69970</v>
      </c>
      <c r="L40" s="44" t="str">
        <f t="shared" si="12"/>
        <v/>
      </c>
      <c r="M40" s="44" t="str">
        <f t="shared" si="12"/>
        <v/>
      </c>
      <c r="N40" s="44">
        <f t="shared" si="12"/>
        <v>988.2</v>
      </c>
      <c r="O40" s="44">
        <f t="shared" si="12"/>
        <v>146.4</v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394</v>
      </c>
      <c r="D43" s="48">
        <f>IFERROR(AVERAGE(D34:D40),"")</f>
        <v>63.628571428571426</v>
      </c>
      <c r="E43" s="48">
        <f>IFERROR(AVERAGE(E34:E40),"")</f>
        <v>275.57142857142861</v>
      </c>
      <c r="F43" s="48">
        <f t="shared" ref="F43:N43" si="13">IFERROR(AVERAGE(F34:F40),"")</f>
        <v>75987.142857142855</v>
      </c>
      <c r="G43" s="48" t="str">
        <f t="shared" si="13"/>
        <v/>
      </c>
      <c r="H43" s="48">
        <f t="shared" si="13"/>
        <v>13.900000000000002</v>
      </c>
      <c r="I43" s="62" t="str">
        <f t="shared" si="13"/>
        <v/>
      </c>
      <c r="J43" s="64" t="str">
        <f>IFERROR(AVERAGE(J34:J40),"")</f>
        <v/>
      </c>
      <c r="K43" s="48">
        <f>IFERROR(AVERAGE(K34:K40),"")</f>
        <v>77292.28571428571</v>
      </c>
      <c r="L43" s="48" t="str">
        <f>IFERROR(AVERAGE(L34:L40),"")</f>
        <v/>
      </c>
      <c r="M43" s="48" t="str">
        <f>IFERROR(AVERAGE(M34:M40),"")</f>
        <v/>
      </c>
      <c r="N43" s="48">
        <f t="shared" si="13"/>
        <v>1143.6428571428571</v>
      </c>
      <c r="O43" s="48">
        <f>IFERROR(AVERAGE(O34:O40),"")</f>
        <v>167.08571428571432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452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146050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209550</xdr:colOff>
                    <xdr:row>3</xdr:row>
                    <xdr:rowOff>12700</xdr:rowOff>
                  </from>
                  <to>
                    <xdr:col>5</xdr:col>
                    <xdr:colOff>133350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147069</v>
      </c>
      <c r="I2">
        <v>30.85</v>
      </c>
      <c r="J2">
        <v>4767.2285251215499</v>
      </c>
      <c r="K2">
        <v>995.00000399999999</v>
      </c>
      <c r="L2">
        <v>147.808039606801</v>
      </c>
      <c r="M2">
        <v>116.95803960680099</v>
      </c>
      <c r="N2">
        <v>4.7911844280973002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2919</v>
      </c>
      <c r="I3">
        <v>3.3530555555555499</v>
      </c>
      <c r="J3">
        <v>870.54925026924002</v>
      </c>
      <c r="K3">
        <v>275.00000399999999</v>
      </c>
      <c r="L3">
        <v>10.614545300152001</v>
      </c>
      <c r="M3">
        <v>7.2614897445965099</v>
      </c>
      <c r="N3">
        <v>3.1656335912971101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6689</v>
      </c>
      <c r="I4">
        <v>22.058888888888799</v>
      </c>
      <c r="J4">
        <v>303.23376819624201</v>
      </c>
      <c r="K4">
        <v>101.999988</v>
      </c>
      <c r="L4">
        <v>65.578439087659504</v>
      </c>
      <c r="M4">
        <v>43.519550198770602</v>
      </c>
      <c r="N4">
        <v>2.9728804301059499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33</v>
      </c>
      <c r="I5">
        <v>0.806111111111111</v>
      </c>
      <c r="J5">
        <v>40.937284631288698</v>
      </c>
      <c r="K5">
        <v>52.999991999999999</v>
      </c>
      <c r="L5">
        <v>0.6226416034176</v>
      </c>
      <c r="M5">
        <v>-0.18346950769351</v>
      </c>
      <c r="N5">
        <v>0.77240171340570696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9641</v>
      </c>
      <c r="I7">
        <v>26.218055555555502</v>
      </c>
      <c r="J7">
        <v>367.723684907559</v>
      </c>
      <c r="K7">
        <v>125.508317814149</v>
      </c>
      <c r="L7">
        <v>76.815625991229098</v>
      </c>
      <c r="M7">
        <v>50.597570435673603</v>
      </c>
      <c r="N7">
        <v>2.9298750179416699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5818</v>
      </c>
      <c r="I14">
        <v>1.35111111111111</v>
      </c>
      <c r="J14">
        <v>4306.08552631578</v>
      </c>
      <c r="K14">
        <v>524.99998800000003</v>
      </c>
      <c r="L14">
        <v>11.0819050152054</v>
      </c>
      <c r="M14">
        <v>9.7307939040943303</v>
      </c>
      <c r="N14">
        <v>8.2020678566487693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34</v>
      </c>
      <c r="I15">
        <v>4.55138888888888</v>
      </c>
      <c r="J15">
        <v>7.4702471772962999</v>
      </c>
      <c r="K15">
        <v>11.999988</v>
      </c>
      <c r="L15">
        <v>2.8333361666695001</v>
      </c>
      <c r="M15">
        <v>-1.71805272221938</v>
      </c>
      <c r="N15">
        <v>0.62252122062924597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147069</v>
      </c>
      <c r="I16">
        <v>32.0058333333333</v>
      </c>
      <c r="J16">
        <v>4595.0686072851304</v>
      </c>
      <c r="K16">
        <v>2000.00001599999</v>
      </c>
      <c r="L16">
        <v>73.534499411723999</v>
      </c>
      <c r="M16">
        <v>41.5286660783906</v>
      </c>
      <c r="N16">
        <v>2.29753428526229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147069</v>
      </c>
      <c r="I17">
        <v>94.976388888888806</v>
      </c>
      <c r="J17">
        <v>1548.47959288127</v>
      </c>
      <c r="K17">
        <v>471.26412274197901</v>
      </c>
      <c r="L17">
        <v>312.07340619163</v>
      </c>
      <c r="M17">
        <v>217.09701730274099</v>
      </c>
      <c r="N17">
        <v>3.2857998692361199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6535</v>
      </c>
      <c r="I46">
        <v>91.329444444444405</v>
      </c>
      <c r="J46">
        <v>71.554141599703101</v>
      </c>
      <c r="K46">
        <v>86.000004000000004</v>
      </c>
      <c r="L46">
        <v>75.988368558680506</v>
      </c>
      <c r="M46">
        <v>-15.3410758857639</v>
      </c>
      <c r="N46">
        <v>0.83202486362329797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32</v>
      </c>
      <c r="I48">
        <v>11.7627777777777</v>
      </c>
      <c r="J48">
        <v>2.7204458508477698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224452</v>
      </c>
      <c r="I50">
        <v>59.4855555555555</v>
      </c>
      <c r="J50">
        <v>3773.2185217699898</v>
      </c>
      <c r="K50">
        <v>15000.0000119999</v>
      </c>
      <c r="L50">
        <v>14.9634666546958</v>
      </c>
      <c r="M50">
        <v>-44.5220889008596</v>
      </c>
      <c r="N50">
        <v>0.25154790125009402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224452</v>
      </c>
      <c r="I51">
        <v>162.57777777777699</v>
      </c>
      <c r="J51">
        <v>1380.58228540185</v>
      </c>
      <c r="K51">
        <v>2467.8116661794302</v>
      </c>
      <c r="L51">
        <v>90.951835213376398</v>
      </c>
      <c r="M51">
        <v>-71.625942564401299</v>
      </c>
      <c r="N51">
        <v>0.55943583715171397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147069</v>
      </c>
      <c r="I52">
        <v>20.8</v>
      </c>
      <c r="J52">
        <v>7070.625</v>
      </c>
      <c r="K52">
        <v>4500</v>
      </c>
      <c r="L52">
        <v>32.682000000000002</v>
      </c>
      <c r="M52">
        <v>11.882</v>
      </c>
      <c r="N52">
        <v>1.57125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147069</v>
      </c>
      <c r="I53">
        <v>38.606944444444402</v>
      </c>
      <c r="J53">
        <v>3809.3923804727101</v>
      </c>
      <c r="K53">
        <v>1850.000004</v>
      </c>
      <c r="L53">
        <v>79.496756584871804</v>
      </c>
      <c r="M53">
        <v>40.889812140427402</v>
      </c>
      <c r="N53">
        <v>2.0591310120195598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147069</v>
      </c>
      <c r="I54">
        <v>316.96111111111099</v>
      </c>
      <c r="J54">
        <v>463.99698525932001</v>
      </c>
      <c r="K54">
        <v>285.45780035443198</v>
      </c>
      <c r="L54">
        <v>515.20399798987796</v>
      </c>
      <c r="M54">
        <v>198.242886878767</v>
      </c>
      <c r="N54">
        <v>1.6254486116098701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12097</v>
      </c>
      <c r="I65">
        <v>9.2783333333333307</v>
      </c>
      <c r="J65">
        <v>1303.7901922040501</v>
      </c>
      <c r="K65">
        <v>1244.000016</v>
      </c>
      <c r="L65">
        <v>9.7242764022601094</v>
      </c>
      <c r="M65">
        <v>0.44594306892677799</v>
      </c>
      <c r="N65">
        <v>1.0480628419895901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63605</v>
      </c>
      <c r="I66">
        <v>330.00416666666598</v>
      </c>
      <c r="J66">
        <v>192.73999065668301</v>
      </c>
      <c r="K66">
        <v>288</v>
      </c>
      <c r="L66">
        <v>220.850694444444</v>
      </c>
      <c r="M66">
        <v>-109.15347222222201</v>
      </c>
      <c r="N66">
        <v>0.66923607866904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779</v>
      </c>
      <c r="I67">
        <v>4.2841666666666596</v>
      </c>
      <c r="J67">
        <v>181.83232834078899</v>
      </c>
      <c r="K67">
        <v>117</v>
      </c>
      <c r="L67">
        <v>6.6581196581196496</v>
      </c>
      <c r="M67">
        <v>2.37395299145299</v>
      </c>
      <c r="N67">
        <v>1.55412246445119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76481</v>
      </c>
      <c r="I69">
        <v>343.56666666666598</v>
      </c>
      <c r="J69">
        <v>222.60890656835099</v>
      </c>
      <c r="K69">
        <v>322.387571806491</v>
      </c>
      <c r="L69">
        <v>237.23309050482399</v>
      </c>
      <c r="M69">
        <v>-106.333576161842</v>
      </c>
      <c r="N69">
        <v>0.69050089406662696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77383</v>
      </c>
      <c r="I70">
        <v>47.743333333333297</v>
      </c>
      <c r="J70">
        <v>1620.81267890805</v>
      </c>
      <c r="K70">
        <v>3465</v>
      </c>
      <c r="L70">
        <v>22.332756132756099</v>
      </c>
      <c r="M70">
        <v>-25.410577200577201</v>
      </c>
      <c r="N70">
        <v>0.46776700689987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77383</v>
      </c>
      <c r="I71">
        <v>60.269444444444403</v>
      </c>
      <c r="J71">
        <v>1283.9507766050599</v>
      </c>
      <c r="K71">
        <v>1524.999996</v>
      </c>
      <c r="L71">
        <v>50.742950952768297</v>
      </c>
      <c r="M71">
        <v>-9.5264934916760495</v>
      </c>
      <c r="N71">
        <v>0.84193493768708205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77383</v>
      </c>
      <c r="I72">
        <v>28.566666666666599</v>
      </c>
      <c r="J72">
        <v>2708.8564760793402</v>
      </c>
      <c r="K72">
        <v>3499.999992</v>
      </c>
      <c r="L72">
        <v>22.109428621964401</v>
      </c>
      <c r="M72">
        <v>-6.4572380447022599</v>
      </c>
      <c r="N72">
        <v>0.77395899493457598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77383</v>
      </c>
      <c r="I73">
        <v>13.875277777777701</v>
      </c>
      <c r="J73">
        <v>5577.0415006706498</v>
      </c>
      <c r="K73">
        <v>5000.0000040000004</v>
      </c>
      <c r="L73">
        <v>15.4765999876187</v>
      </c>
      <c r="M73">
        <v>1.6013222098409401</v>
      </c>
      <c r="N73">
        <v>1.1154082992418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77383</v>
      </c>
      <c r="I74">
        <v>494.021388888888</v>
      </c>
      <c r="J74">
        <v>156.638966936316</v>
      </c>
      <c r="K74">
        <v>222.43216677079499</v>
      </c>
      <c r="L74">
        <v>347.894826199931</v>
      </c>
      <c r="M74">
        <v>-146.12656268895699</v>
      </c>
      <c r="N74">
        <v>0.70421004844018398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76481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77383</v>
      </c>
      <c r="I161">
        <v>63.416388888888797</v>
      </c>
      <c r="J161">
        <v>1220.2366195208899</v>
      </c>
      <c r="K161">
        <v>974.59697732997404</v>
      </c>
      <c r="L161">
        <v>79.400000000000006</v>
      </c>
      <c r="M161">
        <v>15.983611111111101</v>
      </c>
      <c r="N161">
        <v>1.25204227788996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77383</v>
      </c>
      <c r="I162">
        <v>0</v>
      </c>
      <c r="J162">
        <v>0</v>
      </c>
      <c r="K162">
        <v>7300.28301886792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77383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77383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224452</v>
      </c>
      <c r="I165">
        <v>65.708055555555504</v>
      </c>
      <c r="J165">
        <v>3415.89776325412</v>
      </c>
      <c r="K165">
        <v>2499.999984</v>
      </c>
      <c r="L165">
        <v>89.780800574597095</v>
      </c>
      <c r="M165">
        <v>24.072745019041498</v>
      </c>
      <c r="N165">
        <v>1.36635911404634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77383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147069</v>
      </c>
      <c r="I170">
        <v>316.96111111111099</v>
      </c>
      <c r="J170">
        <v>463.99698525932001</v>
      </c>
      <c r="K170">
        <v>285.45780035443198</v>
      </c>
      <c r="L170">
        <v>515.20399798987796</v>
      </c>
      <c r="M170">
        <v>198.242886878767</v>
      </c>
      <c r="N170">
        <v>1.6254486116098701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147069</v>
      </c>
      <c r="I172">
        <v>316.96111111111099</v>
      </c>
      <c r="J172">
        <v>463.99698525932001</v>
      </c>
      <c r="K172">
        <v>285.45780035443198</v>
      </c>
      <c r="L172">
        <v>515.20399798987796</v>
      </c>
      <c r="M172">
        <v>198.242886878767</v>
      </c>
      <c r="N172">
        <v>1.6254486116098701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77383</v>
      </c>
      <c r="I174">
        <v>494.021388888888</v>
      </c>
      <c r="J174">
        <v>156.638966936316</v>
      </c>
      <c r="K174">
        <v>222.43216677079499</v>
      </c>
      <c r="L174">
        <v>347.894826199931</v>
      </c>
      <c r="M174">
        <v>-146.12656268895699</v>
      </c>
      <c r="N174">
        <v>0.70421004844018398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77383</v>
      </c>
      <c r="I177">
        <v>129.12444444444401</v>
      </c>
      <c r="J177">
        <v>599.29009052421395</v>
      </c>
      <c r="K177">
        <v>430.42972193179799</v>
      </c>
      <c r="L177">
        <v>179.78080057459701</v>
      </c>
      <c r="M177">
        <v>50.656356130152602</v>
      </c>
      <c r="N177">
        <v>1.39230647882436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224452</v>
      </c>
      <c r="I179">
        <v>940.10694444444403</v>
      </c>
      <c r="J179">
        <v>238.751560475536</v>
      </c>
      <c r="K179">
        <v>215.22330542290999</v>
      </c>
      <c r="L179">
        <v>1042.8796247644</v>
      </c>
      <c r="M179">
        <v>102.77268031996201</v>
      </c>
      <c r="N179">
        <v>1.10932020120401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147069</v>
      </c>
      <c r="I180">
        <v>316.96111111111099</v>
      </c>
      <c r="J180">
        <v>463.99698525932001</v>
      </c>
      <c r="K180">
        <v>285.45780035443198</v>
      </c>
      <c r="L180">
        <v>515.20399798987796</v>
      </c>
      <c r="M180">
        <v>198.242886878767</v>
      </c>
      <c r="N180">
        <v>1.6254486116098701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77383</v>
      </c>
      <c r="I181">
        <v>494.021388888888</v>
      </c>
      <c r="J181">
        <v>156.638966936316</v>
      </c>
      <c r="K181">
        <v>222.43216677079499</v>
      </c>
      <c r="L181">
        <v>347.894826199931</v>
      </c>
      <c r="M181">
        <v>-146.12656268895699</v>
      </c>
      <c r="N181">
        <v>0.70421004844018398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77383</v>
      </c>
      <c r="I183">
        <v>129.12444444444401</v>
      </c>
      <c r="J183">
        <v>599.29009052421395</v>
      </c>
      <c r="K183">
        <v>430.42972193179799</v>
      </c>
      <c r="L183">
        <v>179.78080057459701</v>
      </c>
      <c r="M183">
        <v>50.656356130152602</v>
      </c>
      <c r="N183">
        <v>1.39230647882436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224452</v>
      </c>
      <c r="I185">
        <v>940.10694444444403</v>
      </c>
      <c r="J185">
        <v>238.751560475536</v>
      </c>
      <c r="K185">
        <v>215.22330542290999</v>
      </c>
      <c r="L185">
        <v>1042.8796247644</v>
      </c>
      <c r="M185">
        <v>102.77268031996201</v>
      </c>
      <c r="N185">
        <v>1.10932020120401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61165</v>
      </c>
      <c r="I2">
        <v>19.150555555555499</v>
      </c>
      <c r="J2">
        <v>3193.90212062313</v>
      </c>
      <c r="K2">
        <v>995.00000399999999</v>
      </c>
      <c r="L2">
        <v>61.472361561920103</v>
      </c>
      <c r="M2">
        <v>42.321806006364604</v>
      </c>
      <c r="N2">
        <v>3.2099518671189098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827</v>
      </c>
      <c r="I3">
        <v>0.93138888888888804</v>
      </c>
      <c r="J3">
        <v>887.92126453921799</v>
      </c>
      <c r="K3">
        <v>275.00000399999999</v>
      </c>
      <c r="L3">
        <v>3.0072726835305699</v>
      </c>
      <c r="M3">
        <v>2.0758837946416899</v>
      </c>
      <c r="N3">
        <v>3.2288045513600001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1673</v>
      </c>
      <c r="I4">
        <v>2.28527777777777</v>
      </c>
      <c r="J4">
        <v>732.07730643004697</v>
      </c>
      <c r="K4">
        <v>101.999988</v>
      </c>
      <c r="L4">
        <v>16.401962713956301</v>
      </c>
      <c r="M4">
        <v>14.116684936178601</v>
      </c>
      <c r="N4">
        <v>7.1772293387921504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32</v>
      </c>
      <c r="I5">
        <v>3.0105555555555501</v>
      </c>
      <c r="J5">
        <v>10.629267392507799</v>
      </c>
      <c r="K5">
        <v>52.999991999999999</v>
      </c>
      <c r="L5">
        <v>0.60377367604130905</v>
      </c>
      <c r="M5">
        <v>-2.4067818795142402</v>
      </c>
      <c r="N5">
        <v>0.200552245225015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5</v>
      </c>
      <c r="I6">
        <v>3.8888888888888799E-2</v>
      </c>
      <c r="J6">
        <v>128.57142857142799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2537</v>
      </c>
      <c r="I7">
        <v>6.2661111111111101</v>
      </c>
      <c r="J7">
        <v>404.87631882259001</v>
      </c>
      <c r="K7">
        <v>126.767543585225</v>
      </c>
      <c r="L7">
        <v>20.013009073528199</v>
      </c>
      <c r="M7">
        <v>13.746897962417099</v>
      </c>
      <c r="N7">
        <v>3.1938484202811299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3889</v>
      </c>
      <c r="I14">
        <v>0.193888888888888</v>
      </c>
      <c r="J14">
        <v>20057.879656160399</v>
      </c>
      <c r="K14">
        <v>524.99998800000003</v>
      </c>
      <c r="L14">
        <v>7.40761921693605</v>
      </c>
      <c r="M14">
        <v>7.2137303280471601</v>
      </c>
      <c r="N14">
        <v>38.2054859326215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31</v>
      </c>
      <c r="I15">
        <v>4.9577777777777703</v>
      </c>
      <c r="J15">
        <v>6.2528014343343798</v>
      </c>
      <c r="K15">
        <v>11.999988</v>
      </c>
      <c r="L15">
        <v>2.5833359166692502</v>
      </c>
      <c r="M15">
        <v>-2.3744418611085201</v>
      </c>
      <c r="N15">
        <v>0.52106730726183803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61165</v>
      </c>
      <c r="I16">
        <v>46.563055555555501</v>
      </c>
      <c r="J16">
        <v>1313.5950652341201</v>
      </c>
      <c r="K16">
        <v>2000.00001599999</v>
      </c>
      <c r="L16">
        <v>30.582499755339999</v>
      </c>
      <c r="M16">
        <v>-15.9805558002155</v>
      </c>
      <c r="N16">
        <v>0.65679752736268004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61165</v>
      </c>
      <c r="I17">
        <v>77.131388888888793</v>
      </c>
      <c r="J17">
        <v>792.99751866403994</v>
      </c>
      <c r="K17">
        <v>501.11083518312199</v>
      </c>
      <c r="L17">
        <v>122.058825524393</v>
      </c>
      <c r="M17">
        <v>44.927436635504797</v>
      </c>
      <c r="N17">
        <v>1.5824792899843201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4132</v>
      </c>
      <c r="I46">
        <v>88.129444444444403</v>
      </c>
      <c r="J46">
        <v>46.885578662699402</v>
      </c>
      <c r="K46">
        <v>86.000004000000004</v>
      </c>
      <c r="L46">
        <v>48.046509393185602</v>
      </c>
      <c r="M46">
        <v>-40.082935051258801</v>
      </c>
      <c r="N46">
        <v>0.54518112188342904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21</v>
      </c>
      <c r="I48">
        <v>0.45555555555555499</v>
      </c>
      <c r="J48">
        <v>46.097560975609703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135675</v>
      </c>
      <c r="I50">
        <v>54.420277777777699</v>
      </c>
      <c r="J50">
        <v>2493.09642545415</v>
      </c>
      <c r="K50">
        <v>15000.0000119999</v>
      </c>
      <c r="L50">
        <v>9.0449999927639997</v>
      </c>
      <c r="M50">
        <v>-45.375277785013701</v>
      </c>
      <c r="N50">
        <v>0.16620642823064499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135675</v>
      </c>
      <c r="I51">
        <v>143.005277777777</v>
      </c>
      <c r="J51">
        <v>948.74120807507097</v>
      </c>
      <c r="K51">
        <v>2376.4479422467298</v>
      </c>
      <c r="L51">
        <v>57.0915093859496</v>
      </c>
      <c r="M51">
        <v>-85.9137683918281</v>
      </c>
      <c r="N51">
        <v>0.39922658990716797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61165</v>
      </c>
      <c r="I52">
        <v>27.183333333333302</v>
      </c>
      <c r="J52">
        <v>2250.0919681177102</v>
      </c>
      <c r="K52">
        <v>4500</v>
      </c>
      <c r="L52">
        <v>13.592222222222199</v>
      </c>
      <c r="M52">
        <v>-13.5911111111111</v>
      </c>
      <c r="N52">
        <v>0.50002043735949298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61165</v>
      </c>
      <c r="I53">
        <v>24.043611111111101</v>
      </c>
      <c r="J53">
        <v>2543.9190360109501</v>
      </c>
      <c r="K53">
        <v>1850.000004</v>
      </c>
      <c r="L53">
        <v>33.062162090676402</v>
      </c>
      <c r="M53">
        <v>9.0185509795652905</v>
      </c>
      <c r="N53">
        <v>1.3750913678435599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61165</v>
      </c>
      <c r="I54">
        <v>271.36361111111103</v>
      </c>
      <c r="J54">
        <v>225.39868094162199</v>
      </c>
      <c r="K54">
        <v>270.875649589631</v>
      </c>
      <c r="L54">
        <v>225.80471922324199</v>
      </c>
      <c r="M54">
        <v>-45.558891887869102</v>
      </c>
      <c r="N54">
        <v>0.83211127055198697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10478</v>
      </c>
      <c r="I65">
        <v>8.3566666666666602</v>
      </c>
      <c r="J65">
        <v>1253.8492221778999</v>
      </c>
      <c r="K65">
        <v>1244.000016</v>
      </c>
      <c r="L65">
        <v>8.4228294736613503</v>
      </c>
      <c r="M65">
        <v>6.6162806994691098E-2</v>
      </c>
      <c r="N65">
        <v>1.00791736820837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60879</v>
      </c>
      <c r="I66">
        <v>325.89027777777699</v>
      </c>
      <c r="J66">
        <v>186.80827306395699</v>
      </c>
      <c r="K66">
        <v>288</v>
      </c>
      <c r="L66">
        <v>211.385416666666</v>
      </c>
      <c r="M66">
        <v>-114.504861111111</v>
      </c>
      <c r="N66">
        <v>0.64863983702762895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1900</v>
      </c>
      <c r="I67">
        <v>11.3294444444444</v>
      </c>
      <c r="J67">
        <v>167.70460452115901</v>
      </c>
      <c r="K67">
        <v>117</v>
      </c>
      <c r="L67">
        <v>16.239316239316199</v>
      </c>
      <c r="M67">
        <v>4.9098717948717896</v>
      </c>
      <c r="N67">
        <v>1.4333726882150299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73257</v>
      </c>
      <c r="I69">
        <v>345.576388888888</v>
      </c>
      <c r="J69">
        <v>211.984968751883</v>
      </c>
      <c r="K69">
        <v>310.34847071276999</v>
      </c>
      <c r="L69">
        <v>236.04756237964401</v>
      </c>
      <c r="M69">
        <v>-109.528826509244</v>
      </c>
      <c r="N69">
        <v>0.68305465873578297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74510</v>
      </c>
      <c r="I70">
        <v>37.063055555555501</v>
      </c>
      <c r="J70">
        <v>2010.3577236991</v>
      </c>
      <c r="K70">
        <v>3465</v>
      </c>
      <c r="L70">
        <v>21.503607503607501</v>
      </c>
      <c r="M70">
        <v>-15.559448051947999</v>
      </c>
      <c r="N70">
        <v>0.58018981924937896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74510</v>
      </c>
      <c r="I71">
        <v>80.864722222222198</v>
      </c>
      <c r="J71">
        <v>921.415395396289</v>
      </c>
      <c r="K71">
        <v>1524.999996</v>
      </c>
      <c r="L71">
        <v>48.859016521597397</v>
      </c>
      <c r="M71">
        <v>-32.005705700624802</v>
      </c>
      <c r="N71">
        <v>0.60420681823810896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74510</v>
      </c>
      <c r="I72">
        <v>27.905833333333302</v>
      </c>
      <c r="J72">
        <v>2670.05106459223</v>
      </c>
      <c r="K72">
        <v>3499.999992</v>
      </c>
      <c r="L72">
        <v>21.288571477230999</v>
      </c>
      <c r="M72">
        <v>-6.61726185610231</v>
      </c>
      <c r="N72">
        <v>0.76287173448434298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74510</v>
      </c>
      <c r="I73">
        <v>13.2488888888888</v>
      </c>
      <c r="J73">
        <v>5623.8678295873797</v>
      </c>
      <c r="K73">
        <v>5000.0000040000004</v>
      </c>
      <c r="L73">
        <v>14.9019999880784</v>
      </c>
      <c r="M73">
        <v>1.6531110991895099</v>
      </c>
      <c r="N73">
        <v>1.12477356501765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74510</v>
      </c>
      <c r="I74">
        <v>504.65888888888799</v>
      </c>
      <c r="J74">
        <v>147.64428337733</v>
      </c>
      <c r="K74">
        <v>217.48346519489701</v>
      </c>
      <c r="L74">
        <v>342.60075787015802</v>
      </c>
      <c r="M74">
        <v>-162.05813101872999</v>
      </c>
      <c r="N74">
        <v>0.67887590095651495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14</v>
      </c>
      <c r="I76">
        <v>1.41333333333333</v>
      </c>
      <c r="J76">
        <v>9.9056603773584904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6</v>
      </c>
      <c r="I77">
        <v>0.115555555555555</v>
      </c>
      <c r="J77">
        <v>51.923076923076898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20</v>
      </c>
      <c r="I79">
        <v>1.5288888888888801</v>
      </c>
      <c r="J79">
        <v>13.0813953488372</v>
      </c>
      <c r="K79">
        <v>0</v>
      </c>
      <c r="L79">
        <v>0</v>
      </c>
      <c r="M79">
        <v>-1.5288888888888801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73277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20</v>
      </c>
      <c r="I81">
        <v>1.5288888888888801</v>
      </c>
      <c r="J81">
        <v>13.0813953488372</v>
      </c>
      <c r="K81">
        <v>0</v>
      </c>
      <c r="L81">
        <v>0</v>
      </c>
      <c r="M81">
        <v>-1.5288888888888801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1.5288888888888801</v>
      </c>
      <c r="J121">
        <v>0</v>
      </c>
      <c r="K121">
        <v>0</v>
      </c>
      <c r="L121">
        <v>0</v>
      </c>
      <c r="M121">
        <v>-1.5288888888888801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74510</v>
      </c>
      <c r="I161">
        <v>51.356666666666598</v>
      </c>
      <c r="J161">
        <v>1450.8340364769199</v>
      </c>
      <c r="K161">
        <v>938.413098236775</v>
      </c>
      <c r="L161">
        <v>79.400000000000006</v>
      </c>
      <c r="M161">
        <v>28.043333333333301</v>
      </c>
      <c r="N161">
        <v>1.5460504965275499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74510</v>
      </c>
      <c r="I162">
        <v>0</v>
      </c>
      <c r="J162">
        <v>0</v>
      </c>
      <c r="K162">
        <v>7029.2452830188604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74510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74510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135675</v>
      </c>
      <c r="I165">
        <v>59.4</v>
      </c>
      <c r="J165">
        <v>2284.0909090908999</v>
      </c>
      <c r="K165">
        <v>2499.999984</v>
      </c>
      <c r="L165">
        <v>54.270000347328001</v>
      </c>
      <c r="M165">
        <v>-5.1299996526719998</v>
      </c>
      <c r="N165">
        <v>0.91363636948363602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74510</v>
      </c>
      <c r="I166">
        <v>10.466666666666599</v>
      </c>
      <c r="J166">
        <v>7118.7898089171904</v>
      </c>
      <c r="K166">
        <v>0</v>
      </c>
      <c r="L166">
        <v>0</v>
      </c>
      <c r="M166">
        <v>-10.466666666666599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61165</v>
      </c>
      <c r="I170">
        <v>271.36361111111103</v>
      </c>
      <c r="J170">
        <v>225.39868094162199</v>
      </c>
      <c r="K170">
        <v>270.875649589631</v>
      </c>
      <c r="L170">
        <v>225.80471922324199</v>
      </c>
      <c r="M170">
        <v>-45.558891887869102</v>
      </c>
      <c r="N170">
        <v>0.83211127055198697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61165</v>
      </c>
      <c r="I172">
        <v>271.36361111111103</v>
      </c>
      <c r="J172">
        <v>225.39868094162199</v>
      </c>
      <c r="K172">
        <v>270.875649589631</v>
      </c>
      <c r="L172">
        <v>225.80471922324199</v>
      </c>
      <c r="M172">
        <v>-45.558891887869102</v>
      </c>
      <c r="N172">
        <v>0.83211127055198697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1.5288888888888801</v>
      </c>
      <c r="J173">
        <v>0</v>
      </c>
      <c r="K173">
        <v>0</v>
      </c>
      <c r="L173">
        <v>0</v>
      </c>
      <c r="M173">
        <v>-1.5288888888888801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74510</v>
      </c>
      <c r="I174">
        <v>504.65888888888799</v>
      </c>
      <c r="J174">
        <v>147.64428337733</v>
      </c>
      <c r="K174">
        <v>217.48346519489701</v>
      </c>
      <c r="L174">
        <v>342.60075787015802</v>
      </c>
      <c r="M174">
        <v>-162.05813101872999</v>
      </c>
      <c r="N174">
        <v>0.67887590095651495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74510</v>
      </c>
      <c r="I177">
        <v>121.223333333333</v>
      </c>
      <c r="J177">
        <v>614.65064481535398</v>
      </c>
      <c r="K177">
        <v>516.46218770789596</v>
      </c>
      <c r="L177">
        <v>144.27000034732799</v>
      </c>
      <c r="M177">
        <v>23.0466670139946</v>
      </c>
      <c r="N177">
        <v>1.19011741700438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135675</v>
      </c>
      <c r="I179">
        <v>898.77472222222195</v>
      </c>
      <c r="J179">
        <v>150.955513818349</v>
      </c>
      <c r="K179">
        <v>190.37416649611501</v>
      </c>
      <c r="L179">
        <v>712.67547744072795</v>
      </c>
      <c r="M179">
        <v>-186.09924478149301</v>
      </c>
      <c r="N179">
        <v>0.79294116736910103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61165</v>
      </c>
      <c r="I180">
        <v>271.36361111111103</v>
      </c>
      <c r="J180">
        <v>225.39868094162199</v>
      </c>
      <c r="K180">
        <v>270.875649589631</v>
      </c>
      <c r="L180">
        <v>225.80471922324199</v>
      </c>
      <c r="M180">
        <v>-45.558891887869102</v>
      </c>
      <c r="N180">
        <v>0.83211127055198697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74510</v>
      </c>
      <c r="I181">
        <v>504.65888888888799</v>
      </c>
      <c r="J181">
        <v>147.64428337733</v>
      </c>
      <c r="K181">
        <v>217.48346519489701</v>
      </c>
      <c r="L181">
        <v>342.60075787015802</v>
      </c>
      <c r="M181">
        <v>-162.05813101872999</v>
      </c>
      <c r="N181">
        <v>0.67887590095651495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74510</v>
      </c>
      <c r="I183">
        <v>121.223333333333</v>
      </c>
      <c r="J183">
        <v>614.65064481535398</v>
      </c>
      <c r="K183">
        <v>516.46218770789596</v>
      </c>
      <c r="L183">
        <v>144.27000034732799</v>
      </c>
      <c r="M183">
        <v>23.0466670139946</v>
      </c>
      <c r="N183">
        <v>1.19011741700438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135675</v>
      </c>
      <c r="I185">
        <v>897.24583333333305</v>
      </c>
      <c r="J185">
        <v>151.21273898364899</v>
      </c>
      <c r="K185">
        <v>190.37416649611501</v>
      </c>
      <c r="L185">
        <v>712.67547744072795</v>
      </c>
      <c r="M185">
        <v>-184.570355892604</v>
      </c>
      <c r="N185">
        <v>0.79429232320097498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60064</v>
      </c>
      <c r="I2">
        <v>38.755555555555503</v>
      </c>
      <c r="J2">
        <v>1549.8165137614601</v>
      </c>
      <c r="K2">
        <v>995.00000399999999</v>
      </c>
      <c r="L2">
        <v>60.365828903051899</v>
      </c>
      <c r="M2">
        <v>21.6102733474963</v>
      </c>
      <c r="N2">
        <v>1.5576045301819501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595</v>
      </c>
      <c r="I3">
        <v>4.4444444444444398E-2</v>
      </c>
      <c r="J3">
        <v>13387.5</v>
      </c>
      <c r="K3">
        <v>275.00000399999999</v>
      </c>
      <c r="L3">
        <v>2.1636363321652898</v>
      </c>
      <c r="M3">
        <v>2.1191918877208402</v>
      </c>
      <c r="N3">
        <v>48.681817473719001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1115</v>
      </c>
      <c r="I4">
        <v>0.86027777777777703</v>
      </c>
      <c r="J4">
        <v>1296.09299321924</v>
      </c>
      <c r="K4">
        <v>101.999988</v>
      </c>
      <c r="L4">
        <v>10.9313738350635</v>
      </c>
      <c r="M4">
        <v>10.0710960572858</v>
      </c>
      <c r="N4">
        <v>12.7067955460861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</v>
      </c>
      <c r="I5">
        <v>1.55555555555555E-2</v>
      </c>
      <c r="J5">
        <v>64.285714285714207</v>
      </c>
      <c r="K5">
        <v>52.999991999999999</v>
      </c>
      <c r="L5">
        <v>1.8867927376290901E-2</v>
      </c>
      <c r="M5">
        <v>3.31237182073536E-3</v>
      </c>
      <c r="N5">
        <v>1.2129381884758399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1711</v>
      </c>
      <c r="I7">
        <v>0.92027777777777697</v>
      </c>
      <c r="J7">
        <v>1859.22124962269</v>
      </c>
      <c r="K7">
        <v>130.47246494565701</v>
      </c>
      <c r="L7">
        <v>13.1138780946051</v>
      </c>
      <c r="M7">
        <v>12.1936003168273</v>
      </c>
      <c r="N7">
        <v>14.2499128103165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7112</v>
      </c>
      <c r="I14">
        <v>5.7763888888888797</v>
      </c>
      <c r="J14">
        <v>1231.21904303919</v>
      </c>
      <c r="K14">
        <v>524.99998800000003</v>
      </c>
      <c r="L14">
        <v>13.546666976304699</v>
      </c>
      <c r="M14">
        <v>7.7702780874158703</v>
      </c>
      <c r="N14">
        <v>2.3451791832025499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76</v>
      </c>
      <c r="I15">
        <v>8.7480555555555508</v>
      </c>
      <c r="J15">
        <v>8.68764487346394</v>
      </c>
      <c r="K15">
        <v>11.999988</v>
      </c>
      <c r="L15">
        <v>6.333339666673</v>
      </c>
      <c r="M15">
        <v>-2.41471588888255</v>
      </c>
      <c r="N15">
        <v>0.72397113009312497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60064</v>
      </c>
      <c r="I16">
        <v>42.913611111111102</v>
      </c>
      <c r="J16">
        <v>1399.6491659600299</v>
      </c>
      <c r="K16">
        <v>2000.00001599999</v>
      </c>
      <c r="L16">
        <v>30.031999759744</v>
      </c>
      <c r="M16">
        <v>-12.8816113513671</v>
      </c>
      <c r="N16">
        <v>0.69982457738142101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60064</v>
      </c>
      <c r="I17">
        <v>97.113888888888894</v>
      </c>
      <c r="J17">
        <v>618.49031778267204</v>
      </c>
      <c r="K17">
        <v>486.77498954168402</v>
      </c>
      <c r="L17">
        <v>123.39171340037799</v>
      </c>
      <c r="M17">
        <v>26.27782451149</v>
      </c>
      <c r="N17">
        <v>1.27058770699168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7344</v>
      </c>
      <c r="I46">
        <v>102.803888888888</v>
      </c>
      <c r="J46">
        <v>71.436986279161502</v>
      </c>
      <c r="K46">
        <v>86.000004000000004</v>
      </c>
      <c r="L46">
        <v>85.395344865332802</v>
      </c>
      <c r="M46">
        <v>-17.408544023556001</v>
      </c>
      <c r="N46">
        <v>0.83066259251757102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89</v>
      </c>
      <c r="I48">
        <v>14.9297222222222</v>
      </c>
      <c r="J48">
        <v>5.9612629542113904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131235</v>
      </c>
      <c r="I50">
        <v>53.110277777777704</v>
      </c>
      <c r="J50">
        <v>2470.9906536190401</v>
      </c>
      <c r="K50">
        <v>15000.0000119999</v>
      </c>
      <c r="L50">
        <v>8.7489999930007993</v>
      </c>
      <c r="M50">
        <v>-44.361277784776902</v>
      </c>
      <c r="N50">
        <v>0.16473271010948301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131235</v>
      </c>
      <c r="I51">
        <v>170.84388888888799</v>
      </c>
      <c r="J51">
        <v>768.15741466380905</v>
      </c>
      <c r="K51">
        <v>1393.9764538961899</v>
      </c>
      <c r="L51">
        <v>94.144344858333596</v>
      </c>
      <c r="M51">
        <v>-76.699544030555202</v>
      </c>
      <c r="N51">
        <v>0.55105479903680898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60064</v>
      </c>
      <c r="I52">
        <v>20.883333333333301</v>
      </c>
      <c r="J52">
        <v>2876.1691939345501</v>
      </c>
      <c r="K52">
        <v>4500</v>
      </c>
      <c r="L52">
        <v>13.3475555555555</v>
      </c>
      <c r="M52">
        <v>-7.5357777777777697</v>
      </c>
      <c r="N52">
        <v>0.63914870976323401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60064</v>
      </c>
      <c r="I53">
        <v>20.5130555555555</v>
      </c>
      <c r="J53">
        <v>2928.08644900943</v>
      </c>
      <c r="K53">
        <v>1850.000004</v>
      </c>
      <c r="L53">
        <v>32.467026956828001</v>
      </c>
      <c r="M53">
        <v>11.953971401272399</v>
      </c>
      <c r="N53">
        <v>1.58274942847483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60064</v>
      </c>
      <c r="I54">
        <v>309.354166666666</v>
      </c>
      <c r="J54">
        <v>194.15933732911299</v>
      </c>
      <c r="K54">
        <v>228.07614906168899</v>
      </c>
      <c r="L54">
        <v>263.35064077109598</v>
      </c>
      <c r="M54">
        <v>-46.003525895570498</v>
      </c>
      <c r="N54">
        <v>0.85129172045340495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9880</v>
      </c>
      <c r="I65">
        <v>8.4141666666666595</v>
      </c>
      <c r="J65">
        <v>1174.21016143408</v>
      </c>
      <c r="K65">
        <v>1244.000016</v>
      </c>
      <c r="L65">
        <v>7.9421220843456899</v>
      </c>
      <c r="M65">
        <v>-0.47204458232096902</v>
      </c>
      <c r="N65">
        <v>0.943898831456357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59097</v>
      </c>
      <c r="I66">
        <v>331.85805555555498</v>
      </c>
      <c r="J66">
        <v>178.07914863198701</v>
      </c>
      <c r="K66">
        <v>288</v>
      </c>
      <c r="L66">
        <v>205.197916666666</v>
      </c>
      <c r="M66">
        <v>-126.660138888888</v>
      </c>
      <c r="N66">
        <v>0.61833037719439898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993</v>
      </c>
      <c r="I67">
        <v>8.8275000000000006</v>
      </c>
      <c r="J67">
        <v>112.489379779099</v>
      </c>
      <c r="K67">
        <v>117</v>
      </c>
      <c r="L67">
        <v>8.4871794871794801</v>
      </c>
      <c r="M67">
        <v>-0.34032051282051301</v>
      </c>
      <c r="N67">
        <v>0.96144769041965294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69970</v>
      </c>
      <c r="I69">
        <v>349.099722222222</v>
      </c>
      <c r="J69">
        <v>200.42983579190599</v>
      </c>
      <c r="K69">
        <v>315.71032004200998</v>
      </c>
      <c r="L69">
        <v>221.62721823819101</v>
      </c>
      <c r="M69">
        <v>-127.47250398403</v>
      </c>
      <c r="N69">
        <v>0.63485360809629399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71171</v>
      </c>
      <c r="I70">
        <v>30.316666666666599</v>
      </c>
      <c r="J70">
        <v>2347.5865860362801</v>
      </c>
      <c r="K70">
        <v>3465</v>
      </c>
      <c r="L70">
        <v>20.539971139971101</v>
      </c>
      <c r="M70">
        <v>-9.7766955266955193</v>
      </c>
      <c r="N70">
        <v>0.67751416624423699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71171</v>
      </c>
      <c r="I71">
        <v>72.018055555555506</v>
      </c>
      <c r="J71">
        <v>988.23828900931403</v>
      </c>
      <c r="K71">
        <v>1524.999996</v>
      </c>
      <c r="L71">
        <v>46.669508319133101</v>
      </c>
      <c r="M71">
        <v>-25.348547236422402</v>
      </c>
      <c r="N71">
        <v>0.64802510924682899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71171</v>
      </c>
      <c r="I72">
        <v>32.727222222222203</v>
      </c>
      <c r="J72">
        <v>2174.6728004209799</v>
      </c>
      <c r="K72">
        <v>3499.999992</v>
      </c>
      <c r="L72">
        <v>20.334571475050399</v>
      </c>
      <c r="M72">
        <v>-12.3926507471717</v>
      </c>
      <c r="N72">
        <v>0.62133508725476205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71171</v>
      </c>
      <c r="I73">
        <v>1.9069444444444399</v>
      </c>
      <c r="J73">
        <v>37322.0101966496</v>
      </c>
      <c r="K73">
        <v>5000.0000040000004</v>
      </c>
      <c r="L73">
        <v>14.2341999886126</v>
      </c>
      <c r="M73">
        <v>12.3272555441681</v>
      </c>
      <c r="N73">
        <v>7.46440203335841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71171</v>
      </c>
      <c r="I74">
        <v>486.06861111111101</v>
      </c>
      <c r="J74">
        <v>146.42171572714599</v>
      </c>
      <c r="K74">
        <v>220.06739769938099</v>
      </c>
      <c r="L74">
        <v>323.405469160959</v>
      </c>
      <c r="M74">
        <v>-162.66314195015099</v>
      </c>
      <c r="N74">
        <v>0.66534942139481501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524</v>
      </c>
      <c r="I75">
        <v>0.206666666666666</v>
      </c>
      <c r="J75">
        <v>2535.4838709677401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492</v>
      </c>
      <c r="I76">
        <v>1.7488888888888801</v>
      </c>
      <c r="J76">
        <v>281.32147395171501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36</v>
      </c>
      <c r="I77">
        <v>0.211111111111111</v>
      </c>
      <c r="J77">
        <v>170.52631578947299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1052</v>
      </c>
      <c r="I79">
        <v>2.1666666666666599</v>
      </c>
      <c r="J79">
        <v>485.53846153846098</v>
      </c>
      <c r="K79">
        <v>0</v>
      </c>
      <c r="L79">
        <v>0</v>
      </c>
      <c r="M79">
        <v>-2.1666666666666599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71022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1052</v>
      </c>
      <c r="I81">
        <v>2.1666666666666599</v>
      </c>
      <c r="J81">
        <v>485.53846153846098</v>
      </c>
      <c r="K81">
        <v>0</v>
      </c>
      <c r="L81">
        <v>0</v>
      </c>
      <c r="M81">
        <v>-2.1666666666666599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2.1666666666666599</v>
      </c>
      <c r="J121">
        <v>0</v>
      </c>
      <c r="K121">
        <v>0</v>
      </c>
      <c r="L121">
        <v>0</v>
      </c>
      <c r="M121">
        <v>-2.1666666666666599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71171</v>
      </c>
      <c r="I161">
        <v>74.653333333333293</v>
      </c>
      <c r="J161">
        <v>953.35327737095895</v>
      </c>
      <c r="K161">
        <v>896.36020151133505</v>
      </c>
      <c r="L161">
        <v>79.400000000000006</v>
      </c>
      <c r="M161">
        <v>4.7466666666666599</v>
      </c>
      <c r="N161">
        <v>1.0635827826397499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71171</v>
      </c>
      <c r="I162">
        <v>0</v>
      </c>
      <c r="J162">
        <v>0</v>
      </c>
      <c r="K162">
        <v>6714.2452830188604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71171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71171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131235</v>
      </c>
      <c r="I165">
        <v>60.545555555555502</v>
      </c>
      <c r="J165">
        <v>2167.5414288598099</v>
      </c>
      <c r="K165">
        <v>2499.999984</v>
      </c>
      <c r="L165">
        <v>52.494000335961601</v>
      </c>
      <c r="M165">
        <v>-8.0515552195939506</v>
      </c>
      <c r="N165">
        <v>0.86701657709282998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71171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60064</v>
      </c>
      <c r="I170">
        <v>309.354166666666</v>
      </c>
      <c r="J170">
        <v>194.15933732911299</v>
      </c>
      <c r="K170">
        <v>228.07614906168899</v>
      </c>
      <c r="L170">
        <v>263.35064077109598</v>
      </c>
      <c r="M170">
        <v>-46.003525895570498</v>
      </c>
      <c r="N170">
        <v>0.85129172045340495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60064</v>
      </c>
      <c r="I172">
        <v>309.354166666666</v>
      </c>
      <c r="J172">
        <v>194.15933732911299</v>
      </c>
      <c r="K172">
        <v>228.07614906168899</v>
      </c>
      <c r="L172">
        <v>263.35064077109598</v>
      </c>
      <c r="M172">
        <v>-46.003525895570498</v>
      </c>
      <c r="N172">
        <v>0.85129172045340495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2.1666666666666599</v>
      </c>
      <c r="J173">
        <v>0</v>
      </c>
      <c r="K173">
        <v>0</v>
      </c>
      <c r="L173">
        <v>0</v>
      </c>
      <c r="M173">
        <v>-2.1666666666666599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71171</v>
      </c>
      <c r="I174">
        <v>486.06861111111101</v>
      </c>
      <c r="J174">
        <v>146.42171572714599</v>
      </c>
      <c r="K174">
        <v>220.06739769938099</v>
      </c>
      <c r="L174">
        <v>323.405469160959</v>
      </c>
      <c r="M174">
        <v>-162.66314195015099</v>
      </c>
      <c r="N174">
        <v>0.66534942139481501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71171</v>
      </c>
      <c r="I177">
        <v>135.19888888888801</v>
      </c>
      <c r="J177">
        <v>526.41704813484603</v>
      </c>
      <c r="K177">
        <v>499.46664303197599</v>
      </c>
      <c r="L177">
        <v>142.494000335961</v>
      </c>
      <c r="M177">
        <v>7.2951114470727001</v>
      </c>
      <c r="N177">
        <v>1.05395836834922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131235</v>
      </c>
      <c r="I179">
        <v>932.78833333333296</v>
      </c>
      <c r="J179">
        <v>140.69108211401999</v>
      </c>
      <c r="K179">
        <v>179.95883463324799</v>
      </c>
      <c r="L179">
        <v>729.25011026801701</v>
      </c>
      <c r="M179">
        <v>-203.538223065316</v>
      </c>
      <c r="N179">
        <v>0.781795916831453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60064</v>
      </c>
      <c r="I180">
        <v>309.354166666666</v>
      </c>
      <c r="J180">
        <v>194.15933732911299</v>
      </c>
      <c r="K180">
        <v>228.07614906168899</v>
      </c>
      <c r="L180">
        <v>263.35064077109598</v>
      </c>
      <c r="M180">
        <v>-46.003525895570498</v>
      </c>
      <c r="N180">
        <v>0.85129172045340495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71171</v>
      </c>
      <c r="I181">
        <v>486.06861111111101</v>
      </c>
      <c r="J181">
        <v>146.42171572714599</v>
      </c>
      <c r="K181">
        <v>220.06739769938099</v>
      </c>
      <c r="L181">
        <v>323.405469160959</v>
      </c>
      <c r="M181">
        <v>-162.66314195015099</v>
      </c>
      <c r="N181">
        <v>0.66534942139481501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71171</v>
      </c>
      <c r="I183">
        <v>135.19888888888801</v>
      </c>
      <c r="J183">
        <v>526.41704813484603</v>
      </c>
      <c r="K183">
        <v>499.46664303197599</v>
      </c>
      <c r="L183">
        <v>142.494000335961</v>
      </c>
      <c r="M183">
        <v>7.2951114470727001</v>
      </c>
      <c r="N183">
        <v>1.05395836834922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131235</v>
      </c>
      <c r="I185">
        <v>930.62166666666599</v>
      </c>
      <c r="J185">
        <v>141.01863807884601</v>
      </c>
      <c r="K185">
        <v>179.95883463324799</v>
      </c>
      <c r="L185">
        <v>729.25011026801701</v>
      </c>
      <c r="M185">
        <v>-201.37155639864901</v>
      </c>
      <c r="N185">
        <v>0.78361608845844999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3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463</v>
      </c>
      <c r="B7">
        <v>566</v>
      </c>
    </row>
    <row r="8" spans="1:2" x14ac:dyDescent="0.35">
      <c r="A8" t="s">
        <v>464</v>
      </c>
      <c r="B8">
        <v>620</v>
      </c>
    </row>
    <row r="9" spans="1:2" x14ac:dyDescent="0.35">
      <c r="A9" t="s">
        <v>465</v>
      </c>
      <c r="B9">
        <v>407</v>
      </c>
    </row>
    <row r="10" spans="1:2" x14ac:dyDescent="0.35">
      <c r="A10" t="s">
        <v>466</v>
      </c>
      <c r="B10">
        <v>449</v>
      </c>
    </row>
    <row r="11" spans="1:2" x14ac:dyDescent="0.35">
      <c r="A11" t="s">
        <v>467</v>
      </c>
      <c r="B11">
        <v>298</v>
      </c>
    </row>
    <row r="12" spans="1:2" x14ac:dyDescent="0.35">
      <c r="A12" t="s">
        <v>468</v>
      </c>
      <c r="B12">
        <v>206</v>
      </c>
    </row>
    <row r="13" spans="1:2" x14ac:dyDescent="0.35">
      <c r="A13" t="s">
        <v>469</v>
      </c>
      <c r="B13">
        <v>408</v>
      </c>
    </row>
    <row r="14" spans="1:2" x14ac:dyDescent="0.35">
      <c r="A14" t="s">
        <v>470</v>
      </c>
      <c r="B14">
        <v>255</v>
      </c>
    </row>
    <row r="15" spans="1:2" x14ac:dyDescent="0.35">
      <c r="A15" t="s">
        <v>471</v>
      </c>
      <c r="B15">
        <v>386</v>
      </c>
    </row>
    <row r="16" spans="1:2" x14ac:dyDescent="0.35">
      <c r="A16" t="s">
        <v>472</v>
      </c>
      <c r="B16">
        <v>449</v>
      </c>
    </row>
    <row r="17" spans="1:2" x14ac:dyDescent="0.35">
      <c r="A17" t="s">
        <v>473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64</vt:i4>
      </vt:variant>
    </vt:vector>
  </HeadingPairs>
  <TitlesOfParts>
    <vt:vector size="107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ppr1</vt:lpstr>
      <vt:lpstr>ppr4</vt:lpstr>
      <vt:lpstr>ppr5</vt:lpstr>
      <vt:lpstr>ppr6</vt:lpstr>
      <vt:lpstr>ppr7</vt:lpstr>
      <vt:lpstr>pid1</vt:lpstr>
      <vt:lpstr>ppr2</vt:lpstr>
      <vt:lpstr>pid2</vt:lpstr>
      <vt:lpstr>ppr3</vt:lpstr>
      <vt:lpstr>pid3</vt:lpstr>
      <vt:lpstr>pid4</vt:lpstr>
      <vt:lpstr>pid5</vt:lpstr>
      <vt:lpstr>pid6</vt:lpstr>
      <vt:lpstr>pid7</vt:lpstr>
      <vt:lpstr>1</vt:lpstr>
      <vt:lpstr>2</vt:lpstr>
      <vt:lpstr>3</vt:lpstr>
      <vt:lpstr>4</vt:lpstr>
      <vt:lpstr>5</vt:lpstr>
      <vt:lpstr>6</vt:lpstr>
      <vt:lpstr>7</vt:lpstr>
      <vt:lpstr>'pid5'!website1</vt:lpstr>
      <vt:lpstr>'ppr5'!website1</vt:lpstr>
      <vt:lpstr>'pid5'!website1_1</vt:lpstr>
      <vt:lpstr>'ppr5'!website1_1</vt:lpstr>
      <vt:lpstr>'pid5'!website1_2</vt:lpstr>
      <vt:lpstr>'ppr5'!website1_2</vt:lpstr>
      <vt:lpstr>'pid5'!website1_3</vt:lpstr>
      <vt:lpstr>'ppr5'!website1_3</vt:lpstr>
      <vt:lpstr>'ppr5'!website1_4</vt:lpstr>
      <vt:lpstr>'ppr5'!website1_5</vt:lpstr>
      <vt:lpstr>'pid6'!website2</vt:lpstr>
      <vt:lpstr>'ppr6'!website2</vt:lpstr>
      <vt:lpstr>'pid6'!website2_1</vt:lpstr>
      <vt:lpstr>'ppr6'!website2_1</vt:lpstr>
      <vt:lpstr>'pid6'!website2_2</vt:lpstr>
      <vt:lpstr>'ppr6'!website2_2</vt:lpstr>
      <vt:lpstr>'pid6'!website2_3</vt:lpstr>
      <vt:lpstr>'ppr6'!website2_3</vt:lpstr>
      <vt:lpstr>'ppr6'!website2_4</vt:lpstr>
      <vt:lpstr>'ppr6'!website2_5</vt:lpstr>
      <vt:lpstr>'pid1'!website27</vt:lpstr>
      <vt:lpstr>'ppr1'!website27</vt:lpstr>
      <vt:lpstr>'pid1'!website27_1</vt:lpstr>
      <vt:lpstr>'ppr1'!website27_1</vt:lpstr>
      <vt:lpstr>'pid1'!website27_2</vt:lpstr>
      <vt:lpstr>'ppr1'!website27_2</vt:lpstr>
      <vt:lpstr>'pid1'!website27_3</vt:lpstr>
      <vt:lpstr>'ppr1'!website27_3</vt:lpstr>
      <vt:lpstr>'ppr1'!website27_4</vt:lpstr>
      <vt:lpstr>'ppr1'!website27_5</vt:lpstr>
      <vt:lpstr>'pid2'!website28</vt:lpstr>
      <vt:lpstr>'ppr2'!website28</vt:lpstr>
      <vt:lpstr>'pid2'!website28_1</vt:lpstr>
      <vt:lpstr>'ppr2'!website28_1</vt:lpstr>
      <vt:lpstr>'pid2'!website28_2</vt:lpstr>
      <vt:lpstr>'ppr2'!website28_2</vt:lpstr>
      <vt:lpstr>'pid2'!website28_3</vt:lpstr>
      <vt:lpstr>'pid3'!website29</vt:lpstr>
      <vt:lpstr>'ppr3'!website29</vt:lpstr>
      <vt:lpstr>'pid3'!website29_1</vt:lpstr>
      <vt:lpstr>'ppr3'!website29_1</vt:lpstr>
      <vt:lpstr>'pid3'!website29_2</vt:lpstr>
      <vt:lpstr>'ppr3'!website29_2</vt:lpstr>
      <vt:lpstr>'pid3'!website29_3</vt:lpstr>
      <vt:lpstr>'pid7'!website3</vt:lpstr>
      <vt:lpstr>'ppr7'!website3</vt:lpstr>
      <vt:lpstr>'pid7'!website3_1</vt:lpstr>
      <vt:lpstr>'ppr7'!website3_1</vt:lpstr>
      <vt:lpstr>'pid7'!website3_2</vt:lpstr>
      <vt:lpstr>'ppr7'!website3_2</vt:lpstr>
      <vt:lpstr>'pid7'!website3_3</vt:lpstr>
      <vt:lpstr>'ppr7'!website3_3</vt:lpstr>
      <vt:lpstr>'ppr7'!website3_4</vt:lpstr>
      <vt:lpstr>'ppr7'!website3_5</vt:lpstr>
      <vt:lpstr>'pid4'!website30</vt:lpstr>
      <vt:lpstr>'ppr4'!website30</vt:lpstr>
      <vt:lpstr>'pid4'!website30_1</vt:lpstr>
      <vt:lpstr>'ppr4'!website30_1</vt:lpstr>
      <vt:lpstr>'pid4'!website30_2</vt:lpstr>
      <vt:lpstr>'ppr4'!website30_2</vt:lpstr>
      <vt:lpstr>'pid4'!website30_3</vt:lpstr>
      <vt:lpstr>'ppr4'!website30_3</vt:lpstr>
      <vt:lpstr>'ppr4'!website30_4</vt:lpstr>
      <vt:lpstr>'ppr4'!website30_5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2020-10-07T23:04:14Z</dcterms:modified>
</cp:coreProperties>
</file>