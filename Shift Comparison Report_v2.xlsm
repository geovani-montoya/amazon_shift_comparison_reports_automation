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45" windowHeight="360" tabRatio="910" firstSheet="5" activeTab="24"/>
  </bookViews>
  <sheets>
    <sheet name="Report Generator" sheetId="35" r:id="rId1"/>
    <sheet name="1.19" sheetId="1" r:id="rId2"/>
    <sheet name="1.26" sheetId="3" r:id="rId3"/>
    <sheet name="2.2" sheetId="6" r:id="rId4"/>
    <sheet name="2.9" sheetId="7" r:id="rId5"/>
    <sheet name="2.16" sheetId="9" r:id="rId6"/>
    <sheet name="2.23" sheetId="10" r:id="rId7"/>
    <sheet name="3.1" sheetId="11" r:id="rId8"/>
    <sheet name="3.8" sheetId="12" r:id="rId9"/>
    <sheet name="4.26" sheetId="14" r:id="rId10"/>
    <sheet name="5.3" sheetId="15" r:id="rId11"/>
    <sheet name="5.10" sheetId="17" r:id="rId12"/>
    <sheet name="5.17" sheetId="18" r:id="rId13"/>
    <sheet name="5.24" sheetId="19" r:id="rId14"/>
    <sheet name="5.31" sheetId="20" r:id="rId15"/>
    <sheet name="6.7" sheetId="21" r:id="rId16"/>
    <sheet name="7.19" sheetId="22" r:id="rId17"/>
    <sheet name="7.26" sheetId="24" r:id="rId18"/>
    <sheet name="8.30" sheetId="27" r:id="rId19"/>
    <sheet name="9.13" sheetId="41" r:id="rId20"/>
    <sheet name="9.20" sheetId="43" r:id="rId21"/>
    <sheet name="9.27" sheetId="44" r:id="rId22"/>
    <sheet name="ppr1" sheetId="117" r:id="rId23"/>
    <sheet name="pidppr1" sheetId="118" r:id="rId24"/>
    <sheet name="ppr2" sheetId="119" r:id="rId25"/>
    <sheet name="pidppr2" sheetId="120" r:id="rId26"/>
    <sheet name="ppr3" sheetId="121" r:id="rId27"/>
    <sheet name="pidppr3" sheetId="122" r:id="rId28"/>
    <sheet name="ppr4" sheetId="123" r:id="rId29"/>
    <sheet name="pidppr4" sheetId="124" r:id="rId30"/>
    <sheet name="ppr5" sheetId="125" r:id="rId31"/>
    <sheet name="pidppr5" sheetId="126" r:id="rId32"/>
    <sheet name="ppr6" sheetId="127" r:id="rId33"/>
    <sheet name="pidppr6" sheetId="128" r:id="rId34"/>
    <sheet name="ppr7" sheetId="129" r:id="rId35"/>
    <sheet name="pidppr7" sheetId="130" r:id="rId36"/>
  </sheets>
  <functionGroups builtInGroupCount="18"/>
  <definedNames>
    <definedName name="website1" localSheetId="31">pidppr5!$A$1:$A$18</definedName>
    <definedName name="website1" localSheetId="30">'ppr5'!$A$1:$A$186</definedName>
    <definedName name="website2" localSheetId="33">pidppr6!$A$1:$A$18</definedName>
    <definedName name="website2" localSheetId="32">'ppr6'!$A$1:$A$186</definedName>
    <definedName name="website27" localSheetId="23">pidppr1!$A$1:$A$18</definedName>
    <definedName name="website27" localSheetId="22">'ppr1'!$A$1:$A$186</definedName>
    <definedName name="website28" localSheetId="25">pidppr2!$A$1:$A$18</definedName>
    <definedName name="website28" localSheetId="24">'ppr2'!$A$1:$A$186</definedName>
    <definedName name="website29" localSheetId="27">pidppr3!$A$1:$A$18</definedName>
    <definedName name="website29" localSheetId="26">'ppr3'!$A$1:$A$186</definedName>
    <definedName name="website3" localSheetId="35">pidppr7!$A$1:$A$18</definedName>
    <definedName name="website3" localSheetId="34">'ppr7'!$A$1:$A$186</definedName>
    <definedName name="website30" localSheetId="29">pidppr4!$A$1:$A$18</definedName>
    <definedName name="website30" localSheetId="28">'ppr4'!$A$1:$A$186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" name="Connection1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2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" name="Connection1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" name="Connection2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4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" name="Connection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" name="Connection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<sst xmlns="http://schemas.openxmlformats.org/spreadsheetml/2006/main" count="8573" uniqueCount="474">
  <si>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</si>
  <si>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</si>
  <si>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</si>
  <si>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</si>
  <si>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</si>
  <si>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</si>
  <si>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</si>
  <si>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</si>
  <si>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</si>
  <si>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</si>
  <si>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</si>
  <si>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</si>
  <si>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</si>
  <si>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</si>
  <si>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</si>
  <si>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</si>
  <si>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</si>
  <si>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</si>
  <si>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</si>
  <si>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</si>
  <si>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</si>
  <si>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</si>
  <si>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</si>
  <si>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</si>
  <si>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</si>
  <si>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</si>
  <si>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</si>
  <si>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</si>
  <si>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</si>
  <si>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</si>
  <si>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</si>
  <si>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</si>
  <si>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</si>
  <si>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</si>
  <si>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</si>
  <si>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</si>
  <si>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</si>
  <si>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</si>
  <si>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</si>
  <si>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</si>
  <si>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</si>
  <si>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</si>
  <si>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</si>
  <si>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</si>
  <si>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</si>
  <si>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</si>
  <si>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</si>
  <si>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</si>
  <si>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</si>
  <si>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</si>
  <si>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</si>
  <si>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</si>
  <si>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</si>
  <si>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</si>
  <si>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</si>
  <si>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</si>
  <si>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</si>
  <si>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</si>
  <si>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</si>
  <si>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</si>
  <si>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</si>
  <si>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</si>
  <si>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</si>
  <si>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</si>
  <si>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</si>
  <si>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</si>
  <si>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</si>
  <si>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</si>
  <si>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</si>
  <si>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</si>
  <si>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</si>
  <si>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</si>
  <si>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</si>
  <si>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</si>
  <si>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</si>
  <si>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</si>
  <si>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</si>
  <si>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</si>
  <si>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</si>
  <si>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</si>
  <si>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</si>
  <si>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</si>
  <si>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</si>
  <si>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</si>
  <si>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</si>
  <si>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</si>
  <si>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</si>
  <si>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</si>
  <si>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</si>
  <si>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</si>
  <si>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</si>
  <si>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</si>
  <si>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</si>
  <si>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</si>
  <si>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</si>
  <si>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</si>
  <si>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</si>
  <si>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</si>
  <si>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</si>
  <si>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</si>
  <si>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</si>
  <si>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</si>
  <si>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</si>
  <si>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</si>
  <si>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</si>
  <si>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</si>
  <si>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</si>
  <si>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</si>
  <si>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</si>
  <si>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</si>
  <si>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</si>
  <si>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</si>
  <si>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</si>
  <si>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</si>
  <si>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</si>
  <si>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</si>
  <si>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</si>
  <si>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</si>
  <si>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</si>
  <si>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</si>
  <si>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</si>
  <si>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</si>
  <si>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</si>
  <si>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</si>
  <si>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</si>
  <si>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</si>
  <si>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</si>
  <si>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</si>
  <si>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</si>
  <si>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</si>
  <si>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</si>
  <si>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</si>
  <si>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</si>
  <si>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</si>
  <si>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</si>
  <si>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</si>
  <si>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</si>
  <si>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</si>
  <si>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</si>
  <si>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</si>
  <si>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</si>
  <si>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</si>
  <si>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</si>
  <si>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</si>
  <si>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</si>
  <si>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</si>
  <si>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</si>
  <si>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</si>
  <si>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</si>
  <si>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</si>
  <si>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</si>
  <si>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</si>
  <si>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</si>
  <si>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</si>
  <si>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</si>
  <si>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</si>
  <si>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</si>
  <si>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</si>
  <si>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</si>
  <si>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</si>
  <si>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</si>
  <si>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</si>
  <si>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</si>
  <si>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</si>
  <si>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</si>
  <si>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</si>
  <si>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</si>
  <si>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</si>
  <si>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</si>
  <si>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</si>
  <si>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</si>
  <si>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</si>
  <si>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</si>
  <si>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</si>
  <si>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</si>
  <si>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</si>
  <si>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</si>
  <si>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</si>
  <si>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</si>
  <si>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</si>
  <si>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</si>
  <si>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</si>
  <si>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</si>
  <si>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</si>
  <si>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</si>
  <si>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</si>
  <si>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</si>
  <si>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</si>
  <si>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</si>
  <si>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</si>
  <si>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</si>
  <si>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</si>
  <si>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</si>
  <si>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</si>
  <si>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</si>
  <si>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</si>
  <si>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</si>
  <si>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</si>
  <si>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</si>
  <si>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</si>
  <si>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</si>
  <si>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</si>
  <si>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</si>
  <si>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</si>
  <si>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</si>
  <si>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</si>
  <si>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</si>
  <si>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</si>
  <si>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</si>
  <si>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</si>
  <si>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</si>
  <si>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</si>
  <si>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</si>
  <si>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</si>
  <si>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</si>
  <si>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</si>
  <si>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</si>
  <si>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</si>
  <si>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</si>
  <si>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</si>
  <si>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</si>
  <si>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</si>
  <si>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</si>
  <si>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</si>
  <si>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</si>
  <si>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</si>
  <si>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</si>
  <si>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</si>
  <si>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</si>
  <si>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</si>
  <si>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</si>
  <si>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</si>
  <si>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</si>
  <si>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</si>
  <si>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</si>
  <si>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</si>
  <si>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</si>
  <si>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</si>
  <si>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</si>
  <si>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</si>
  <si>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</si>
  <si>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</si>
  <si>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</si>
  <si>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</si>
  <si>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</si>
  <si>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</si>
  <si>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</si>
  <si>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</si>
  <si>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</si>
  <si>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</si>
  <si>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</si>
  <si>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</si>
  <si>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</si>
  <si>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</si>
  <si>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</si>
  <si>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</si>
  <si>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</si>
  <si>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</si>
  <si>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</si>
  <si>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</si>
  <si>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</si>
  <si>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</si>
  <si>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</si>
  <si>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</si>
  <si>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</si>
  <si>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</si>
  <si>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</si>
  <si>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</si>
  <si>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</si>
  <si>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</si>
  <si>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</si>
  <si>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</si>
  <si>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</si>
  <si>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</si>
  <si>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</si>
  <si>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</si>
  <si>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</si>
  <si>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</si>
  <si>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</si>
  <si>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</si>
  <si>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</si>
  <si>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</si>
  <si>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</si>
  <si>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</si>
  <si>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</si>
  <si>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</si>
  <si>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</si>
  <si>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</si>
  <si>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</si>
  <si>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</si>
  <si>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</si>
  <si>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</si>
  <si>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</si>
  <si>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</si>
  <si>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</si>
  <si>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</si>
  <si>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</si>
  <si>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</si>
  <si>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</si>
  <si>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</si>
  <si>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</si>
  <si>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</si>
  <si>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</si>
  <si>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</si>
  <si>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</si>
  <si>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</si>
  <si>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</si>
  <si>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</si>
  <si>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</si>
  <si>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</si>
  <si>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</si>
  <si>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</si>
  <si>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</si>
  <si>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</si>
  <si>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</si>
  <si>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</si>
  <si>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</si>
  <si>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</si>
  <si>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</si>
  <si>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</si>
  <si>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</si>
  <si>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</si>
  <si>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</si>
  <si>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</si>
  <si>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</si>
  <si>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</si>
  <si>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</si>
  <si>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</si>
  <si>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</si>
  <si>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</si>
  <si>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</si>
  <si>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</si>
  <si>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</si>
  <si>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</si>
  <si>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</si>
  <si>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</si>
  <si>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</si>
  <si>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</si>
  <si>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</si>
  <si>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</si>
  <si>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</si>
  <si>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</si>
  <si>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</si>
  <si>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</si>
  <si>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</si>
  <si>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</si>
  <si>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</si>
  <si>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</si>
  <si>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</si>
  <si>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</si>
  <si>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</si>
  <si>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</si>
  <si>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</si>
  <si>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</si>
  <si>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</si>
  <si>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</si>
  <si>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</si>
  <si>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</si>
  <si>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</si>
  <si>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</si>
  <si>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</si>
  <si>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</si>
  <si>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</si>
  <si>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</si>
  <si>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</si>
  <si>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</si>
  <si>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</si>
  <si>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</si>
  <si>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</si>
  <si>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</si>
  <si>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</si>
  <si>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</si>
  <si>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</si>
  <si>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</si>
  <si>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</si>
  <si>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</si>
  <si>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</si>
  <si>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</si>
  <si>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</si>
  <si>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</si>
  <si>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</si>
  <si>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</si>
  <si>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</si>
  <si>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</si>
  <si>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</si>
  <si>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</si>
  <si>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</si>
  <si>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</si>
  <si>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</si>
  <si>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</si>
  <si>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</si>
  <si>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</si>
  <si>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</si>
  <si>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</si>
  <si>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</si>
  <si>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</si>
  <si>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</si>
  <si>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</si>
  <si>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</si>
  <si>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</si>
  <si>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</si>
  <si>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</si>
  <si>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</si>
  <si>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</si>
  <si>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</si>
  <si>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</si>
  <si>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</si>
  <si>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</si>
  <si>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</si>
  <si>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</si>
  <si>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</si>
  <si>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</si>
  <si>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</si>
  <si>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</si>
  <si>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</si>
  <si>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</si>
  <si>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</si>
  <si>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</si>
  <si>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</si>
  <si>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</si>
  <si>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</si>
  <si>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</si>
  <si>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</si>
  <si>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</si>
  <si>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</si>
  <si>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</si>
  <si>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</si>
  <si>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</si>
  <si>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</si>
  <si>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</si>
  <si>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</si>
  <si>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</si>
  <si>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</si>
  <si>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</si>
  <si>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</si>
  <si>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</si>
  <si>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</si>
  <si>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</si>
  <si>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</si>
  <si>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</si>
  <si>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</si>
  <si>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</si>
  <si>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</si>
  <si>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</si>
  <si>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</si>
  <si>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</si>
  <si>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</si>
  <si>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</si>
  <si>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</si>
  <si>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</si>
  <si>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Inputs</t>
  </si>
  <si>
    <t>Start date for report</t>
  </si>
  <si>
    <t>*Wednesday is considered to be Back Half (BH) this week</t>
  </si>
  <si>
    <t>* Wednesday is considered to be Front Half (FH) this week</t>
  </si>
  <si>
    <t>Id</t>
  </si>
  <si>
    <t>Label=AVG (avg: {avg})</t>
  </si>
  <si>
    <t>Label</t>
  </si>
  <si>
    <t>AVG (avg: 394.00)</t>
  </si>
  <si>
    <t>Result</t>
  </si>
  <si>
    <t>MetricData</t>
  </si>
  <si>
    <t>Min</t>
  </si>
  <si>
    <t>Avg</t>
  </si>
  <si>
    <t>Max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</si>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</sst>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9" fillId="12" borderId="0" xfId="4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566395</xdr:colOff>
      <xdr:row>2</xdr:row>
      <xdr:rowOff>117363</xdr:rowOff>
    </xdr:from>
    <xdr:to>
      <xdr:col>21</xdr:col>
      <xdr:colOff>267040</xdr:colOff>
      <xdr:row>5</xdr:row>
      <xdr:rowOff>136072</xdr:rowOff>
    </xdr:to>
    <xdr:sp macro="[0]!openWebsites" textlink="">
      <xdr:nvSpPr>
        <xdr:cNvPr id="11" name="Rectangle 10"/>
        <xdr:cNvSpPr/>
      </xdr:nvSpPr>
      <xdr:spPr>
        <a:xfrm>
          <a:off x="13792538" y="498363"/>
          <a:ext cx="2381252" cy="60381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776356"/>
          <a:ext cx="260237" cy="1520598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598965"/>
          <a:ext cx="260239" cy="1483180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142875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9525</xdr:rowOff>
        </xdr:from>
        <xdr:to>
          <xdr:col>5</xdr:col>
          <xdr:colOff>133350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8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8" growShrinkType="overwriteClear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9" growShrinkType="overwriteClear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9" growShrinkType="overwriteClear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30" growShrinkType="overwriteClear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30" growShrinkType="overwriteClear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" growShrinkType="overwriteClear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" growShrinkType="overwriteClear" connectionId="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" growShrinkType="overwriteClear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" growShrinkType="overwriteClear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3" growShrinkType="overwriteClear" connectionId="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3" growShrinkType="overwriteClear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zoomScale="70" zoomScaleNormal="70" workbookViewId="0">
      <selection activeCell="Q12" sqref="Q12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B1" s="79" t="s">
        <v>450</v>
      </c>
      <c r="S1" s="85"/>
      <c r="T1" s="85"/>
      <c r="U1" s="85"/>
      <c r="V1" s="85"/>
    </row>
    <row r="2" spans="1:23" x14ac:dyDescent="0.25">
      <c r="A2" s="82" t="s">
        <v>451</v>
      </c>
      <c r="B2" s="80">
        <v>44101</v>
      </c>
    </row>
    <row r="3" spans="1:23" ht="15.75" x14ac:dyDescent="0.25">
      <c r="A3" s="83" t="s">
        <v>32</v>
      </c>
      <c r="B3" s="81" t="s">
        <v>31</v>
      </c>
      <c r="Q3" s="74" t="s">
        <v>30</v>
      </c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1788.35</v>
      </c>
      <c r="C10" s="40" t="str">
        <f t="shared" ref="C10:P10" si="0">IFERROR(AVERAGE(C$14:C$17),"")</f>
        <v/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 t="str">
        <f t="shared" si="0"/>
        <v/>
      </c>
      <c r="H10" s="40" t="str">
        <f t="shared" si="0"/>
        <v/>
      </c>
      <c r="I10" s="53" t="str">
        <f t="shared" si="0"/>
        <v/>
      </c>
      <c r="J10" s="55" t="str">
        <f t="shared" si="0"/>
        <v/>
      </c>
      <c r="K10" s="40">
        <f t="shared" si="0"/>
        <v>80334.5</v>
      </c>
      <c r="L10" s="40" t="str">
        <f t="shared" si="0"/>
        <v/>
      </c>
      <c r="M10" s="40" t="str">
        <f t="shared" si="0"/>
        <v/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 t="str">
        <f t="shared" si="1"/>
        <v/>
      </c>
      <c r="D11" s="40">
        <f t="shared" si="1"/>
        <v>63.300000000000004</v>
      </c>
      <c r="E11" s="40">
        <f t="shared" si="1"/>
        <v>294.5333333333333</v>
      </c>
      <c r="F11" s="40">
        <f t="shared" si="1"/>
        <v>89432.666666666672</v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>
        <f t="shared" si="1"/>
        <v>73236</v>
      </c>
      <c r="L11" s="40" t="str">
        <f t="shared" si="1"/>
        <v/>
      </c>
      <c r="M11" s="40" t="str">
        <f t="shared" si="1"/>
        <v/>
      </c>
      <c r="N11" s="40">
        <f t="shared" si="1"/>
        <v>1064.5333333333335</v>
      </c>
      <c r="O11" s="40">
        <f t="shared" si="1"/>
        <v>150.20000000000002</v>
      </c>
      <c r="P11" s="40" t="str">
        <f t="shared" si="1"/>
        <v/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 t="str">
        <f t="shared" si="2"/>
        <v/>
      </c>
      <c r="D12" s="48">
        <f t="shared" si="2"/>
        <v>0.57499999999999574</v>
      </c>
      <c r="E12" s="48">
        <f t="shared" si="2"/>
        <v>33.18333333333328</v>
      </c>
      <c r="F12" s="48">
        <f t="shared" si="2"/>
        <v>23529.666666666672</v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>
        <f t="shared" si="2"/>
        <v>7098.5</v>
      </c>
      <c r="L12" s="48" t="str">
        <f t="shared" si="2"/>
        <v/>
      </c>
      <c r="M12" s="48" t="str">
        <f t="shared" si="2"/>
        <v/>
      </c>
      <c r="N12" s="48">
        <f t="shared" si="2"/>
        <v>138.44166666666638</v>
      </c>
      <c r="O12" s="48">
        <f t="shared" si="2"/>
        <v>29.549999999999983</v>
      </c>
      <c r="P12" s="48" t="str">
        <f t="shared" si="2"/>
        <v/>
      </c>
      <c r="Q12" s="69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f>B2</f>
        <v>44101</v>
      </c>
      <c r="B14" s="42">
        <v>1650.1</v>
      </c>
      <c r="C14" s="42"/>
      <c r="D14" s="42">
        <v>55.1</v>
      </c>
      <c r="E14" s="42">
        <v>264.10000000000002</v>
      </c>
      <c r="F14" s="43">
        <v>58660</v>
      </c>
      <c r="G14" s="42"/>
      <c r="H14" s="42"/>
      <c r="I14" s="56"/>
      <c r="J14" s="59"/>
      <c r="K14" s="43">
        <v>85405</v>
      </c>
      <c r="L14" s="42"/>
      <c r="M14" s="42"/>
      <c r="N14" s="42">
        <v>1079.7</v>
      </c>
      <c r="O14" s="42">
        <v>181.4</v>
      </c>
      <c r="P14" s="42"/>
      <c r="Q14" s="34"/>
      <c r="U14" s="38"/>
    </row>
    <row r="15" spans="1:23" ht="17.25" x14ac:dyDescent="0.35">
      <c r="A15" s="51">
        <f t="shared" ref="A15:A20" si="3">A14+1</f>
        <v>44102</v>
      </c>
      <c r="B15" s="42">
        <v>1749</v>
      </c>
      <c r="C15" s="42"/>
      <c r="D15" s="42">
        <v>74.599999999999994</v>
      </c>
      <c r="E15" s="42">
        <v>228.6</v>
      </c>
      <c r="F15" s="43">
        <v>52761</v>
      </c>
      <c r="G15" s="42"/>
      <c r="H15" s="42"/>
      <c r="I15" s="56"/>
      <c r="J15" s="59"/>
      <c r="K15" s="43">
        <v>78257</v>
      </c>
      <c r="L15" s="42"/>
      <c r="M15" s="42"/>
      <c r="N15" s="42">
        <v>1074.5999999999999</v>
      </c>
      <c r="O15" s="42">
        <v>176.1</v>
      </c>
      <c r="P15" s="42"/>
      <c r="Q15" s="34"/>
      <c r="R15" s="38"/>
      <c r="U15" s="38"/>
    </row>
    <row r="16" spans="1:23" ht="17.25" x14ac:dyDescent="0.35">
      <c r="A16" s="51">
        <f t="shared" si="3"/>
        <v>44103</v>
      </c>
      <c r="B16" s="42">
        <v>1387.3</v>
      </c>
      <c r="C16" s="42"/>
      <c r="D16" s="42">
        <v>66.3</v>
      </c>
      <c r="E16" s="42">
        <v>298.5</v>
      </c>
      <c r="F16" s="43">
        <v>88113</v>
      </c>
      <c r="G16" s="42"/>
      <c r="H16" s="42"/>
      <c r="I16" s="56"/>
      <c r="J16" s="59"/>
      <c r="K16" s="43">
        <v>78728</v>
      </c>
      <c r="L16" s="42"/>
      <c r="M16" s="42"/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/>
      <c r="D17" s="46">
        <v>59.5</v>
      </c>
      <c r="E17" s="46">
        <v>254.2</v>
      </c>
      <c r="F17" s="47">
        <v>64078</v>
      </c>
      <c r="G17" s="46"/>
      <c r="H17" s="46"/>
      <c r="I17" s="57"/>
      <c r="J17" s="60"/>
      <c r="K17" s="47">
        <v>78948</v>
      </c>
      <c r="L17" s="46"/>
      <c r="M17" s="46"/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>
        <v>4767.2</v>
      </c>
      <c r="C18" s="44"/>
      <c r="D18" s="44">
        <v>71.599999999999994</v>
      </c>
      <c r="E18" s="44">
        <v>464</v>
      </c>
      <c r="F18" s="45">
        <v>147069</v>
      </c>
      <c r="G18" s="44"/>
      <c r="H18" s="44"/>
      <c r="I18" s="58"/>
      <c r="J18" s="61"/>
      <c r="K18" s="45">
        <v>76481</v>
      </c>
      <c r="L18" s="44"/>
      <c r="M18" s="44"/>
      <c r="N18" s="44">
        <v>1284</v>
      </c>
      <c r="O18" s="44">
        <v>156.6</v>
      </c>
      <c r="P18" s="44"/>
      <c r="Q18" s="34"/>
      <c r="R18" s="38"/>
      <c r="U18" s="38"/>
    </row>
    <row r="19" spans="1:21" ht="17.25" x14ac:dyDescent="0.35">
      <c r="A19" s="51">
        <f t="shared" si="3"/>
        <v>44106</v>
      </c>
      <c r="B19" s="44">
        <v>3193.9</v>
      </c>
      <c r="C19" s="44"/>
      <c r="D19" s="44">
        <v>46.9</v>
      </c>
      <c r="E19" s="44">
        <v>225.4</v>
      </c>
      <c r="F19" s="45">
        <v>61165</v>
      </c>
      <c r="G19" s="44"/>
      <c r="H19" s="44"/>
      <c r="I19" s="58"/>
      <c r="J19" s="61"/>
      <c r="K19" s="45">
        <v>73257</v>
      </c>
      <c r="L19" s="44"/>
      <c r="M19" s="44"/>
      <c r="N19" s="44">
        <v>921.4</v>
      </c>
      <c r="O19" s="44">
        <v>147.6</v>
      </c>
      <c r="P19" s="44"/>
      <c r="Q19" s="34"/>
      <c r="R19" s="38"/>
      <c r="U19" s="38"/>
    </row>
    <row r="20" spans="1:21" ht="17.25" x14ac:dyDescent="0.35">
      <c r="A20" s="51">
        <f t="shared" si="3"/>
        <v>44107</v>
      </c>
      <c r="B20" s="44">
        <v>1549.8</v>
      </c>
      <c r="C20" s="44"/>
      <c r="D20" s="44">
        <v>71.400000000000006</v>
      </c>
      <c r="E20" s="44">
        <v>194.2</v>
      </c>
      <c r="F20" s="45">
        <v>60064</v>
      </c>
      <c r="G20" s="44"/>
      <c r="H20" s="44"/>
      <c r="I20" s="58"/>
      <c r="J20" s="61"/>
      <c r="K20" s="45">
        <v>69970</v>
      </c>
      <c r="L20" s="44"/>
      <c r="M20" s="44"/>
      <c r="N20" s="44">
        <v>988.2</v>
      </c>
      <c r="O20" s="44">
        <v>146.4</v>
      </c>
      <c r="P20" s="44"/>
      <c r="Q20" s="34"/>
      <c r="R20" s="38"/>
      <c r="U20" s="38"/>
    </row>
    <row r="21" spans="1:21" ht="17.25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ht="17.25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ht="17.25" x14ac:dyDescent="0.35">
      <c r="A23" s="35" t="s">
        <v>4</v>
      </c>
      <c r="B23" s="48">
        <f t="shared" ref="B23:N23" si="4">IFERROR(AVERAGE(B14:B20),"")</f>
        <v>2380.6142857142854</v>
      </c>
      <c r="C23" s="48" t="str">
        <f>IFERROR(AVERAGE(C14:C20),"")</f>
        <v/>
      </c>
      <c r="D23" s="48">
        <f>IFERROR(AVERAGE(D14:D20),"")</f>
        <v>63.628571428571426</v>
      </c>
      <c r="E23" s="48">
        <f>IFERROR(AVERAGE(E14:E20),"")</f>
        <v>275.57142857142861</v>
      </c>
      <c r="F23" s="48">
        <f t="shared" si="4"/>
        <v>75987.142857142855</v>
      </c>
      <c r="G23" s="48" t="str">
        <f t="shared" si="4"/>
        <v/>
      </c>
      <c r="H23" s="48" t="str">
        <f t="shared" si="4"/>
        <v/>
      </c>
      <c r="I23" s="62" t="str">
        <f t="shared" si="4"/>
        <v/>
      </c>
      <c r="J23" s="64" t="str">
        <f>IFERROR(AVERAGE(J14:J20),"")</f>
        <v/>
      </c>
      <c r="K23" s="48">
        <f>IFERROR(AVERAGE(K14:K20),"")</f>
        <v>77292.28571428571</v>
      </c>
      <c r="L23" s="48" t="str">
        <f>IFERROR(AVERAGE(L14:L20),"")</f>
        <v/>
      </c>
      <c r="M23" s="48" t="str">
        <f>IFERROR(AVERAGE(M14:M20),"")</f>
        <v/>
      </c>
      <c r="N23" s="48">
        <f t="shared" si="4"/>
        <v>1143.6428571428571</v>
      </c>
      <c r="O23" s="48">
        <f>IFERROR(AVERAGE(O14:O20),"")</f>
        <v>167.08571428571432</v>
      </c>
      <c r="P23" s="48" t="str">
        <f>IFERROR(AVERAGE(P14:P20),"")</f>
        <v/>
      </c>
      <c r="Q23" s="34"/>
    </row>
    <row r="24" spans="1:21" ht="17.25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25">
      <c r="B25" s="73" t="s">
        <v>453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2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6">IFERROR(AVERAGE(B$34:B$36),"")</f>
        <v>1595.4666666666665</v>
      </c>
      <c r="C30" s="40" t="str">
        <f t="shared" si="6"/>
        <v/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 t="str">
        <f t="shared" si="6"/>
        <v/>
      </c>
      <c r="H30" s="40" t="str">
        <f t="shared" si="6"/>
        <v/>
      </c>
      <c r="I30" s="53" t="str">
        <f t="shared" si="6"/>
        <v/>
      </c>
      <c r="J30" s="55" t="str">
        <f t="shared" si="6"/>
        <v/>
      </c>
      <c r="K30" s="40">
        <f t="shared" si="6"/>
        <v>80796.666666666672</v>
      </c>
      <c r="L30" s="40" t="str">
        <f t="shared" si="6"/>
        <v/>
      </c>
      <c r="M30" s="40" t="str">
        <f t="shared" si="6"/>
        <v/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 t="str">
        <f t="shared" ref="C31:P31" si="7">IFERROR(AVERAGE(C$37:C$40),"")</f>
        <v/>
      </c>
      <c r="D31" s="40">
        <f t="shared" si="7"/>
        <v>62.35</v>
      </c>
      <c r="E31" s="40">
        <f t="shared" si="7"/>
        <v>284.45</v>
      </c>
      <c r="F31" s="40">
        <f t="shared" si="7"/>
        <v>83094</v>
      </c>
      <c r="G31" s="40" t="str">
        <f t="shared" si="7"/>
        <v/>
      </c>
      <c r="H31" s="40" t="str">
        <f t="shared" si="7"/>
        <v/>
      </c>
      <c r="I31" s="53" t="str">
        <f t="shared" si="7"/>
        <v/>
      </c>
      <c r="J31" s="55" t="str">
        <f t="shared" si="7"/>
        <v/>
      </c>
      <c r="K31" s="40">
        <f t="shared" si="7"/>
        <v>74664</v>
      </c>
      <c r="L31" s="40" t="str">
        <f t="shared" si="7"/>
        <v/>
      </c>
      <c r="M31" s="40" t="str">
        <f t="shared" si="7"/>
        <v/>
      </c>
      <c r="N31" s="40">
        <f t="shared" si="7"/>
        <v>1185.125</v>
      </c>
      <c r="O31" s="40">
        <f t="shared" si="7"/>
        <v>155.79999999999998</v>
      </c>
      <c r="P31" s="40" t="str">
        <f t="shared" si="7"/>
        <v/>
      </c>
      <c r="Q31" s="34"/>
    </row>
    <row r="32" spans="1:21" ht="17.25" x14ac:dyDescent="0.35">
      <c r="A32" s="35" t="s">
        <v>27</v>
      </c>
      <c r="B32" s="48">
        <f t="shared" ref="B32:P32" si="8">IFERROR(ABS(B$31-B$30), "")</f>
        <v>1374.0083333333334</v>
      </c>
      <c r="C32" s="48" t="str">
        <f t="shared" si="8"/>
        <v/>
      </c>
      <c r="D32" s="48">
        <f t="shared" si="8"/>
        <v>2.9833333333333272</v>
      </c>
      <c r="E32" s="48">
        <f t="shared" si="8"/>
        <v>20.71666666666664</v>
      </c>
      <c r="F32" s="48">
        <f t="shared" si="8"/>
        <v>16582.666666666672</v>
      </c>
      <c r="G32" s="48" t="str">
        <f t="shared" si="8"/>
        <v/>
      </c>
      <c r="H32" s="48" t="str">
        <f t="shared" si="8"/>
        <v/>
      </c>
      <c r="I32" s="62" t="str">
        <f t="shared" si="8"/>
        <v/>
      </c>
      <c r="J32" s="64" t="str">
        <f t="shared" si="8"/>
        <v/>
      </c>
      <c r="K32" s="48">
        <f t="shared" si="8"/>
        <v>6132.6666666666715</v>
      </c>
      <c r="L32" s="48" t="str">
        <f t="shared" si="8"/>
        <v/>
      </c>
      <c r="M32" s="48" t="str">
        <f t="shared" si="8"/>
        <v/>
      </c>
      <c r="N32" s="48">
        <f t="shared" si="8"/>
        <v>96.791666666666742</v>
      </c>
      <c r="O32" s="48">
        <f t="shared" si="8"/>
        <v>26.333333333333343</v>
      </c>
      <c r="P32" s="48" t="str">
        <f t="shared" si="8"/>
        <v/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f t="shared" ref="A34:A40" si="9">A14</f>
        <v>44101</v>
      </c>
      <c r="B34" s="42">
        <f>IF(B14=0, "", B14)</f>
        <v>1650.1</v>
      </c>
      <c r="C34" s="42" t="str">
        <f>IF(C14=0, "", C14)</f>
        <v/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 t="str">
        <f t="shared" si="10"/>
        <v/>
      </c>
      <c r="H34" s="42" t="str">
        <f t="shared" si="10"/>
        <v/>
      </c>
      <c r="I34" s="42" t="str">
        <f t="shared" si="10"/>
        <v/>
      </c>
      <c r="J34" s="42" t="str">
        <f t="shared" si="10"/>
        <v/>
      </c>
      <c r="K34" s="42">
        <f t="shared" si="10"/>
        <v>85405</v>
      </c>
      <c r="L34" s="42" t="str">
        <f t="shared" si="10"/>
        <v/>
      </c>
      <c r="M34" s="42" t="str">
        <f t="shared" si="10"/>
        <v/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ht="17.25" x14ac:dyDescent="0.35">
      <c r="A35" s="51">
        <f t="shared" si="9"/>
        <v>44102</v>
      </c>
      <c r="B35" s="42">
        <f>IF(B15=0, "", B15)</f>
        <v>1749</v>
      </c>
      <c r="C35" s="42" t="str">
        <f t="shared" ref="C35:P35" si="11">IF(C15=0, "", C15)</f>
        <v/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 t="str">
        <f t="shared" si="11"/>
        <v/>
      </c>
      <c r="H35" s="42" t="str">
        <f t="shared" si="11"/>
        <v/>
      </c>
      <c r="I35" s="42" t="str">
        <f t="shared" si="11"/>
        <v/>
      </c>
      <c r="J35" s="42" t="str">
        <f t="shared" si="11"/>
        <v/>
      </c>
      <c r="K35" s="42">
        <f t="shared" si="11"/>
        <v>78257</v>
      </c>
      <c r="L35" s="42" t="str">
        <f t="shared" si="11"/>
        <v/>
      </c>
      <c r="M35" s="42" t="str">
        <f t="shared" si="11"/>
        <v/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ht="17.25" x14ac:dyDescent="0.35">
      <c r="A36" s="51">
        <f t="shared" si="9"/>
        <v>44103</v>
      </c>
      <c r="B36" s="42">
        <f t="shared" ref="B36:P40" si="12">IF(B16=0, "", B16)</f>
        <v>1387.3</v>
      </c>
      <c r="C36" s="42" t="str">
        <f t="shared" si="12"/>
        <v/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 t="str">
        <f t="shared" si="12"/>
        <v/>
      </c>
      <c r="H36" s="42" t="str">
        <f t="shared" si="12"/>
        <v/>
      </c>
      <c r="I36" s="42" t="str">
        <f t="shared" si="12"/>
        <v/>
      </c>
      <c r="J36" s="42" t="str">
        <f t="shared" si="12"/>
        <v/>
      </c>
      <c r="K36" s="42">
        <f t="shared" si="12"/>
        <v>78728</v>
      </c>
      <c r="L36" s="42" t="str">
        <f t="shared" si="12"/>
        <v/>
      </c>
      <c r="M36" s="42" t="str">
        <f t="shared" si="12"/>
        <v/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ht="17.25" x14ac:dyDescent="0.35">
      <c r="A37" s="51">
        <f t="shared" si="9"/>
        <v>44104</v>
      </c>
      <c r="B37" s="84">
        <f t="shared" si="12"/>
        <v>2367</v>
      </c>
      <c r="C37" s="84" t="str">
        <f t="shared" si="12"/>
        <v/>
      </c>
      <c r="D37" s="84">
        <f t="shared" si="12"/>
        <v>59.5</v>
      </c>
      <c r="E37" s="84">
        <f t="shared" si="12"/>
        <v>254.2</v>
      </c>
      <c r="F37" s="84">
        <f t="shared" si="12"/>
        <v>64078</v>
      </c>
      <c r="G37" s="84" t="str">
        <f t="shared" si="12"/>
        <v/>
      </c>
      <c r="H37" s="84" t="str">
        <f t="shared" si="12"/>
        <v/>
      </c>
      <c r="I37" s="84" t="str">
        <f t="shared" si="12"/>
        <v/>
      </c>
      <c r="J37" s="84" t="str">
        <f t="shared" si="12"/>
        <v/>
      </c>
      <c r="K37" s="84">
        <f t="shared" si="12"/>
        <v>78948</v>
      </c>
      <c r="L37" s="84" t="str">
        <f t="shared" si="12"/>
        <v/>
      </c>
      <c r="M37" s="84" t="str">
        <f t="shared" si="12"/>
        <v/>
      </c>
      <c r="N37" s="84">
        <f t="shared" si="12"/>
        <v>1546.9</v>
      </c>
      <c r="O37" s="84">
        <f t="shared" si="12"/>
        <v>172.6</v>
      </c>
      <c r="P37" s="84" t="str">
        <f t="shared" si="12"/>
        <v/>
      </c>
      <c r="Q37" s="34"/>
    </row>
    <row r="38" spans="1:18" ht="17.25" x14ac:dyDescent="0.35">
      <c r="A38" s="51">
        <f t="shared" si="9"/>
        <v>44105</v>
      </c>
      <c r="B38" s="44">
        <f t="shared" si="12"/>
        <v>4767.2</v>
      </c>
      <c r="C38" s="44" t="str">
        <f t="shared" si="12"/>
        <v/>
      </c>
      <c r="D38" s="44">
        <f t="shared" si="12"/>
        <v>71.599999999999994</v>
      </c>
      <c r="E38" s="44">
        <f t="shared" si="12"/>
        <v>464</v>
      </c>
      <c r="F38" s="44">
        <f t="shared" si="12"/>
        <v>147069</v>
      </c>
      <c r="G38" s="44" t="str">
        <f t="shared" si="12"/>
        <v/>
      </c>
      <c r="H38" s="44" t="str">
        <f t="shared" si="12"/>
        <v/>
      </c>
      <c r="I38" s="44" t="str">
        <f t="shared" si="12"/>
        <v/>
      </c>
      <c r="J38" s="44" t="str">
        <f t="shared" si="12"/>
        <v/>
      </c>
      <c r="K38" s="44">
        <f t="shared" si="12"/>
        <v>76481</v>
      </c>
      <c r="L38" s="44" t="str">
        <f t="shared" si="12"/>
        <v/>
      </c>
      <c r="M38" s="44" t="str">
        <f t="shared" si="12"/>
        <v/>
      </c>
      <c r="N38" s="44">
        <f t="shared" si="12"/>
        <v>1284</v>
      </c>
      <c r="O38" s="44">
        <f t="shared" si="12"/>
        <v>156.6</v>
      </c>
      <c r="P38" s="44" t="str">
        <f t="shared" si="12"/>
        <v/>
      </c>
      <c r="Q38" s="34"/>
    </row>
    <row r="39" spans="1:18" ht="17.25" x14ac:dyDescent="0.35">
      <c r="A39" s="51">
        <f t="shared" si="9"/>
        <v>44106</v>
      </c>
      <c r="B39" s="44">
        <f t="shared" si="12"/>
        <v>3193.9</v>
      </c>
      <c r="C39" s="44" t="str">
        <f t="shared" si="12"/>
        <v/>
      </c>
      <c r="D39" s="44">
        <f t="shared" si="12"/>
        <v>46.9</v>
      </c>
      <c r="E39" s="44">
        <f t="shared" si="12"/>
        <v>225.4</v>
      </c>
      <c r="F39" s="44">
        <f t="shared" si="12"/>
        <v>61165</v>
      </c>
      <c r="G39" s="44" t="str">
        <f t="shared" si="12"/>
        <v/>
      </c>
      <c r="H39" s="44" t="str">
        <f t="shared" si="12"/>
        <v/>
      </c>
      <c r="I39" s="44" t="str">
        <f t="shared" si="12"/>
        <v/>
      </c>
      <c r="J39" s="44" t="str">
        <f t="shared" si="12"/>
        <v/>
      </c>
      <c r="K39" s="44">
        <f t="shared" si="12"/>
        <v>73257</v>
      </c>
      <c r="L39" s="44" t="str">
        <f t="shared" si="12"/>
        <v/>
      </c>
      <c r="M39" s="44" t="str">
        <f t="shared" si="12"/>
        <v/>
      </c>
      <c r="N39" s="44">
        <f t="shared" si="12"/>
        <v>921.4</v>
      </c>
      <c r="O39" s="44">
        <f t="shared" si="12"/>
        <v>147.6</v>
      </c>
      <c r="P39" s="44" t="str">
        <f t="shared" si="12"/>
        <v/>
      </c>
      <c r="Q39" s="34"/>
    </row>
    <row r="40" spans="1:18" ht="17.25" x14ac:dyDescent="0.35">
      <c r="A40" s="51">
        <f t="shared" si="9"/>
        <v>44107</v>
      </c>
      <c r="B40" s="44">
        <f t="shared" si="12"/>
        <v>1549.8</v>
      </c>
      <c r="C40" s="44" t="str">
        <f t="shared" si="12"/>
        <v/>
      </c>
      <c r="D40" s="44">
        <f t="shared" si="12"/>
        <v>71.400000000000006</v>
      </c>
      <c r="E40" s="44">
        <f t="shared" si="12"/>
        <v>194.2</v>
      </c>
      <c r="F40" s="44">
        <f t="shared" si="12"/>
        <v>60064</v>
      </c>
      <c r="G40" s="44" t="str">
        <f t="shared" si="12"/>
        <v/>
      </c>
      <c r="H40" s="44" t="str">
        <f t="shared" si="12"/>
        <v/>
      </c>
      <c r="I40" s="44" t="str">
        <f t="shared" si="12"/>
        <v/>
      </c>
      <c r="J40" s="44" t="str">
        <f t="shared" si="12"/>
        <v/>
      </c>
      <c r="K40" s="44">
        <f t="shared" si="12"/>
        <v>69970</v>
      </c>
      <c r="L40" s="44" t="str">
        <f t="shared" si="12"/>
        <v/>
      </c>
      <c r="M40" s="44" t="str">
        <f t="shared" si="12"/>
        <v/>
      </c>
      <c r="N40" s="44">
        <f t="shared" si="12"/>
        <v>988.2</v>
      </c>
      <c r="O40" s="44">
        <f t="shared" si="12"/>
        <v>146.4</v>
      </c>
      <c r="P40" s="44" t="str">
        <f t="shared" si="12"/>
        <v/>
      </c>
      <c r="Q40" s="34"/>
    </row>
    <row r="41" spans="1:18" ht="17.25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ht="17.25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 t="str">
        <f>IFERROR(AVERAGE(C34:C40),"")</f>
        <v/>
      </c>
      <c r="D43" s="48">
        <f>IFERROR(AVERAGE(D34:D40),"")</f>
        <v>63.628571428571426</v>
      </c>
      <c r="E43" s="48">
        <f>IFERROR(AVERAGE(E34:E40),"")</f>
        <v>275.57142857142861</v>
      </c>
      <c r="F43" s="48">
        <f t="shared" ref="F43:N43" si="13">IFERROR(AVERAGE(F34:F40),"")</f>
        <v>75987.142857142855</v>
      </c>
      <c r="G43" s="48" t="str">
        <f t="shared" si="13"/>
        <v/>
      </c>
      <c r="H43" s="48" t="str">
        <f t="shared" si="13"/>
        <v/>
      </c>
      <c r="I43" s="62" t="str">
        <f t="shared" si="13"/>
        <v/>
      </c>
      <c r="J43" s="64" t="str">
        <f>IFERROR(AVERAGE(J34:J40),"")</f>
        <v/>
      </c>
      <c r="K43" s="48">
        <f>IFERROR(AVERAGE(K34:K40),"")</f>
        <v>77292.28571428571</v>
      </c>
      <c r="L43" s="48" t="str">
        <f>IFERROR(AVERAGE(L34:L40),"")</f>
        <v/>
      </c>
      <c r="M43" s="48" t="str">
        <f>IFERROR(AVERAGE(M34:M40),"")</f>
        <v/>
      </c>
      <c r="N43" s="48">
        <f t="shared" si="13"/>
        <v>1143.6428571428571</v>
      </c>
      <c r="O43" s="48">
        <f>IFERROR(AVERAGE(O34:O40),"")</f>
        <v>167.08571428571432</v>
      </c>
      <c r="P43" s="48" t="str">
        <f>IFERROR(AVERAGE(P34:P40),"")</f>
        <v/>
      </c>
      <c r="Q43" s="34"/>
    </row>
    <row r="44" spans="1:18" ht="17.25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25">
      <c r="B45" s="33" t="s">
        <v>452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142875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PPR">
                <anchor moveWithCells="1" sizeWithCells="1">
                  <from>
                    <xdr:col>2</xdr:col>
                    <xdr:colOff>209550</xdr:colOff>
                    <xdr:row>3</xdr:row>
                    <xdr:rowOff>9525</xdr:rowOff>
                  </from>
                  <to>
                    <xdr:col>5</xdr:col>
                    <xdr:colOff>133350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0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0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2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2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2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2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2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2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2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2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2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2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2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2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2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2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2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2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2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45" customHeight="1" x14ac:dyDescent="0.2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97"/>
      <c r="M12" s="97"/>
      <c r="N12" s="97"/>
      <c r="O12" s="97"/>
      <c r="P12" s="97"/>
    </row>
    <row r="13" spans="1:16" x14ac:dyDescent="0.2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2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2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2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2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2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45" customHeight="1" x14ac:dyDescent="0.2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97"/>
      <c r="M12" s="97"/>
      <c r="N12" s="97"/>
      <c r="O12" s="97"/>
      <c r="P12" s="97"/>
    </row>
    <row r="13" spans="1:16" x14ac:dyDescent="0.2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2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2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2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2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2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45" customHeight="1" x14ac:dyDescent="0.2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97"/>
      <c r="M12" s="97"/>
      <c r="N12" s="97"/>
      <c r="O12" s="97"/>
      <c r="P12" s="97"/>
    </row>
    <row r="13" spans="1:16" x14ac:dyDescent="0.2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2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25">
      <c r="F6" s="22"/>
      <c r="I6" s="22"/>
    </row>
    <row r="7" spans="1:18" x14ac:dyDescent="0.2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2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2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2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45" customHeight="1" x14ac:dyDescent="0.2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97"/>
      <c r="O12" s="97"/>
      <c r="P12" s="97"/>
      <c r="Q12" s="97"/>
      <c r="R12" s="97"/>
    </row>
    <row r="13" spans="1:18" x14ac:dyDescent="0.2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2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25">
      <c r="F6" s="22"/>
      <c r="I6" s="22"/>
    </row>
    <row r="7" spans="1:18" x14ac:dyDescent="0.2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2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2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2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45" customHeight="1" x14ac:dyDescent="0.2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97"/>
      <c r="O12" s="97"/>
      <c r="P12" s="97"/>
      <c r="Q12" s="97"/>
      <c r="R12" s="97"/>
    </row>
    <row r="13" spans="1:18" x14ac:dyDescent="0.2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2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25">
      <c r="F6" s="22"/>
      <c r="I6" s="22"/>
    </row>
    <row r="7" spans="1:18" x14ac:dyDescent="0.2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2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2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2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45" customHeight="1" x14ac:dyDescent="0.2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97"/>
      <c r="O12" s="97"/>
      <c r="P12" s="97"/>
      <c r="Q12" s="97"/>
      <c r="R12" s="97"/>
    </row>
    <row r="13" spans="1:18" x14ac:dyDescent="0.2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2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25">
      <c r="F6" s="22"/>
      <c r="I6" s="22"/>
    </row>
    <row r="7" spans="1:18" x14ac:dyDescent="0.2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2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2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2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45" customHeight="1" x14ac:dyDescent="0.2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97" t="s">
        <v>16</v>
      </c>
      <c r="O11" s="97"/>
      <c r="P11" s="97"/>
      <c r="Q11" s="97"/>
      <c r="R11" s="97"/>
    </row>
    <row r="12" spans="1:18" x14ac:dyDescent="0.2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97"/>
      <c r="O12" s="97"/>
      <c r="P12" s="97"/>
      <c r="Q12" s="97"/>
      <c r="R12" s="97"/>
    </row>
    <row r="13" spans="1:18" x14ac:dyDescent="0.2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2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25">
      <c r="F6" s="22"/>
      <c r="I6" s="22"/>
    </row>
    <row r="7" spans="1:18" x14ac:dyDescent="0.2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2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2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2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45" customHeight="1" x14ac:dyDescent="0.2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97"/>
      <c r="O12" s="97"/>
      <c r="P12" s="97"/>
      <c r="Q12" s="97"/>
      <c r="R12" s="97"/>
    </row>
    <row r="13" spans="1:18" x14ac:dyDescent="0.2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2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25">
      <c r="F6" s="22"/>
      <c r="I6" s="22"/>
    </row>
    <row r="7" spans="1:18" x14ac:dyDescent="0.2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2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2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2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45" customHeight="1" x14ac:dyDescent="0.2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97"/>
      <c r="O12" s="97"/>
      <c r="P12" s="97"/>
      <c r="Q12" s="97"/>
      <c r="R12" s="97"/>
    </row>
    <row r="13" spans="1:18" x14ac:dyDescent="0.2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2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25">
      <c r="F6" s="22"/>
      <c r="I6" s="22"/>
    </row>
    <row r="7" spans="1:18" x14ac:dyDescent="0.2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2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2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2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45" customHeight="1" x14ac:dyDescent="0.2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97"/>
      <c r="O12" s="97"/>
      <c r="P12" s="97"/>
      <c r="Q12" s="97"/>
      <c r="R12" s="97"/>
    </row>
    <row r="13" spans="1:18" x14ac:dyDescent="0.2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2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25">
      <c r="F6" s="22"/>
      <c r="I6" s="22"/>
    </row>
    <row r="7" spans="1:18" x14ac:dyDescent="0.2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2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2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2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45" customHeight="1" x14ac:dyDescent="0.2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97"/>
      <c r="O12" s="97"/>
      <c r="P12" s="97"/>
      <c r="Q12" s="97"/>
      <c r="R12" s="97"/>
    </row>
    <row r="13" spans="1:18" x14ac:dyDescent="0.2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2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25">
      <c r="F6" s="22"/>
      <c r="I6" s="22"/>
    </row>
    <row r="7" spans="1:18" x14ac:dyDescent="0.2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2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2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2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45" customHeight="1" x14ac:dyDescent="0.2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97"/>
      <c r="O12" s="97"/>
      <c r="P12" s="97"/>
      <c r="Q12" s="97"/>
      <c r="R12" s="97"/>
    </row>
    <row r="13" spans="1:18" x14ac:dyDescent="0.2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2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25">
      <c r="F6" s="22"/>
      <c r="I6" s="22"/>
    </row>
    <row r="7" spans="1:18" x14ac:dyDescent="0.2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2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2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2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45" customHeight="1" x14ac:dyDescent="0.2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97"/>
      <c r="O12" s="97"/>
      <c r="P12" s="97"/>
      <c r="Q12" s="97"/>
      <c r="R12" s="97"/>
    </row>
    <row r="13" spans="1:18" x14ac:dyDescent="0.2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2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25">
      <c r="F6" s="22"/>
      <c r="I6" s="22"/>
    </row>
    <row r="7" spans="1:18" x14ac:dyDescent="0.2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2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2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2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45" customHeight="1" x14ac:dyDescent="0.2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97"/>
      <c r="O12" s="97"/>
      <c r="P12" s="97"/>
      <c r="Q12" s="97"/>
      <c r="R12" s="97"/>
    </row>
    <row r="13" spans="1:18" x14ac:dyDescent="0.2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5" x14ac:dyDescent="0.25"/>
  <cols>
    <col min="1" max="1" width="23.5703125" customWidth="1"/>
    <col min="6" max="6" width="10.140625" bestFit="1" customWidth="1"/>
    <col min="9" max="9" width="10.140625" bestFit="1" customWidth="1"/>
  </cols>
  <sheetData>
    <row r="4" spans="1:12" x14ac:dyDescent="0.25">
      <c r="A4" s="1"/>
      <c r="B4" s="94" t="s">
        <v>13</v>
      </c>
      <c r="C4" s="95"/>
      <c r="D4" s="95"/>
      <c r="E4" s="95"/>
      <c r="F4" s="95"/>
      <c r="G4" s="96"/>
      <c r="H4" s="98" t="s">
        <v>14</v>
      </c>
      <c r="I4" s="99"/>
      <c r="J4" s="99"/>
      <c r="K4" s="99"/>
      <c r="L4" s="100"/>
    </row>
    <row r="5" spans="1:12" x14ac:dyDescent="0.2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2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2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2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25">
      <c r="F9" s="22"/>
      <c r="I9" s="22"/>
    </row>
    <row r="10" spans="1:12" x14ac:dyDescent="0.2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2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2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2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2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2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2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25">
      <c r="F17" s="22"/>
      <c r="I17" s="22"/>
    </row>
    <row r="18" spans="1:12" x14ac:dyDescent="0.2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2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2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2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25">
      <c r="F6" s="22"/>
      <c r="I6" s="22"/>
    </row>
    <row r="7" spans="1:18" x14ac:dyDescent="0.2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2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2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2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45" customHeight="1" x14ac:dyDescent="0.2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97"/>
      <c r="O12" s="97"/>
      <c r="P12" s="97"/>
      <c r="Q12" s="97"/>
      <c r="R12" s="97"/>
    </row>
    <row r="13" spans="1:18" x14ac:dyDescent="0.2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4" max="4" width="7.5703125" customWidth="1"/>
    <col min="5" max="5" width="7.140625" bestFit="1" customWidth="1"/>
    <col min="6" max="6" width="14" bestFit="1" customWidth="1"/>
    <col min="7" max="7" width="7.85546875" customWidth="1"/>
    <col min="9" max="9" width="7.28515625" customWidth="1"/>
    <col min="10" max="10" width="8.140625" bestFit="1" customWidth="1"/>
    <col min="11" max="11" width="11.28515625" bestFit="1" customWidth="1"/>
    <col min="12" max="12" width="7.85546875" bestFit="1" customWidth="1"/>
  </cols>
  <sheetData>
    <row r="4" spans="1:16" x14ac:dyDescent="0.25">
      <c r="A4" s="1"/>
      <c r="B4" s="94" t="s">
        <v>13</v>
      </c>
      <c r="C4" s="95"/>
      <c r="D4" s="95"/>
      <c r="E4" s="95"/>
      <c r="F4" s="95"/>
      <c r="G4" s="95"/>
      <c r="H4" s="96"/>
      <c r="I4" s="28"/>
      <c r="J4" s="98" t="s">
        <v>14</v>
      </c>
      <c r="K4" s="99"/>
      <c r="L4" s="99"/>
      <c r="M4" s="99"/>
      <c r="N4" s="99"/>
      <c r="O4" s="99"/>
      <c r="P4" s="100"/>
    </row>
    <row r="5" spans="1:16" x14ac:dyDescent="0.2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2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2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2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25">
      <c r="F9" s="22"/>
      <c r="G9" s="22"/>
      <c r="K9" s="22"/>
      <c r="L9" s="22"/>
    </row>
    <row r="10" spans="1:16" x14ac:dyDescent="0.2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2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2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2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2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2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2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25">
      <c r="F17" s="22"/>
      <c r="G17" s="22"/>
      <c r="K17" s="22"/>
      <c r="L17" s="22"/>
    </row>
    <row r="18" spans="1:16" x14ac:dyDescent="0.2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2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2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ht="17.25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ht="17.25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ht="17.25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ht="17.25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ht="17.25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ht="17.25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ht="17.25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ht="17.25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ht="17.25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ht="17.25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ht="17.25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ht="17.25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ht="17.25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ht="17.25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ht="17.25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ht="17.25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ht="17.25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ht="17.25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ht="17.25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ht="17.25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ht="17.25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ht="17.25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ht="17.25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ht="17.25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ht="17.25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ht="17.25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A7" sqref="A7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ht="17.25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ht="17.25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ht="17.25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ht="17.25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ht="17.25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ht="17.25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2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2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ht="17.25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ht="17.25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ht="17.25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ht="17.25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ht="17.25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ht="17.25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ht="17.25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ht="17.25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ht="17.25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186"/>
  <sheetViews>
    <sheetView workbookViewId="0">
      <selection activeCell="A8" sqref="A8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18"/>
  <sheetViews>
    <sheetView workbookViewId="0">
      <selection activeCell="C14" sqref="C14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tabSelected="1"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18"/>
  <sheetViews>
    <sheetView workbookViewId="0">
      <selection sqref="A1:A1048576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B18"/>
  <sheetViews>
    <sheetView workbookViewId="0">
      <selection sqref="A1:A1048576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B18"/>
  <sheetViews>
    <sheetView workbookViewId="0">
      <selection sqref="A1:A1048576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147069</v>
      </c>
      <c r="I2">
        <v>30.85</v>
      </c>
      <c r="J2">
        <v>4767.2285251215499</v>
      </c>
      <c r="K2">
        <v>995.00000399999999</v>
      </c>
      <c r="L2">
        <v>147.808039606801</v>
      </c>
      <c r="M2">
        <v>116.95803960680099</v>
      </c>
      <c r="N2">
        <v>4.7911844280973002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2919</v>
      </c>
      <c r="I3">
        <v>3.3530555555555499</v>
      </c>
      <c r="J3">
        <v>870.54925026924002</v>
      </c>
      <c r="K3">
        <v>275.00000399999999</v>
      </c>
      <c r="L3">
        <v>10.614545300152001</v>
      </c>
      <c r="M3">
        <v>7.2614897445965099</v>
      </c>
      <c r="N3">
        <v>3.1656335912971101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6689</v>
      </c>
      <c r="I4">
        <v>22.058888888888799</v>
      </c>
      <c r="J4">
        <v>303.23376819624201</v>
      </c>
      <c r="K4">
        <v>101.999988</v>
      </c>
      <c r="L4">
        <v>65.578439087659504</v>
      </c>
      <c r="M4">
        <v>43.519550198770602</v>
      </c>
      <c r="N4">
        <v>2.9728804301059499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33</v>
      </c>
      <c r="I5">
        <v>0.806111111111111</v>
      </c>
      <c r="J5">
        <v>40.937284631288698</v>
      </c>
      <c r="K5">
        <v>52.999991999999999</v>
      </c>
      <c r="L5">
        <v>0.6226416034176</v>
      </c>
      <c r="M5">
        <v>-0.18346950769351</v>
      </c>
      <c r="N5">
        <v>0.77240171340570696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9641</v>
      </c>
      <c r="I7">
        <v>26.218055555555502</v>
      </c>
      <c r="J7">
        <v>367.723684907559</v>
      </c>
      <c r="K7">
        <v>125.508317814149</v>
      </c>
      <c r="L7">
        <v>76.815625991229098</v>
      </c>
      <c r="M7">
        <v>50.597570435673603</v>
      </c>
      <c r="N7">
        <v>2.9298750179416699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5818</v>
      </c>
      <c r="I14">
        <v>1.35111111111111</v>
      </c>
      <c r="J14">
        <v>4306.08552631578</v>
      </c>
      <c r="K14">
        <v>524.99998800000003</v>
      </c>
      <c r="L14">
        <v>11.0819050152054</v>
      </c>
      <c r="M14">
        <v>9.7307939040943303</v>
      </c>
      <c r="N14">
        <v>8.2020678566487693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34</v>
      </c>
      <c r="I15">
        <v>4.55138888888888</v>
      </c>
      <c r="J15">
        <v>7.4702471772962999</v>
      </c>
      <c r="K15">
        <v>11.999988</v>
      </c>
      <c r="L15">
        <v>2.8333361666695001</v>
      </c>
      <c r="M15">
        <v>-1.71805272221938</v>
      </c>
      <c r="N15">
        <v>0.62252122062924597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147069</v>
      </c>
      <c r="I16">
        <v>32.0058333333333</v>
      </c>
      <c r="J16">
        <v>4595.0686072851304</v>
      </c>
      <c r="K16">
        <v>2000.00001599999</v>
      </c>
      <c r="L16">
        <v>73.534499411723999</v>
      </c>
      <c r="M16">
        <v>41.5286660783906</v>
      </c>
      <c r="N16">
        <v>2.29753428526229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147069</v>
      </c>
      <c r="I17">
        <v>94.976388888888806</v>
      </c>
      <c r="J17">
        <v>1548.47959288127</v>
      </c>
      <c r="K17">
        <v>471.26412274197901</v>
      </c>
      <c r="L17">
        <v>312.07340619163</v>
      </c>
      <c r="M17">
        <v>217.09701730274099</v>
      </c>
      <c r="N17">
        <v>3.2857998692361199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6535</v>
      </c>
      <c r="I46">
        <v>91.329444444444405</v>
      </c>
      <c r="J46">
        <v>71.554141599703101</v>
      </c>
      <c r="K46">
        <v>86.000004000000004</v>
      </c>
      <c r="L46">
        <v>75.988368558680506</v>
      </c>
      <c r="M46">
        <v>-15.3410758857639</v>
      </c>
      <c r="N46">
        <v>0.83202486362329797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32</v>
      </c>
      <c r="I48">
        <v>11.7627777777777</v>
      </c>
      <c r="J48">
        <v>2.7204458508477698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224452</v>
      </c>
      <c r="I50">
        <v>59.4855555555555</v>
      </c>
      <c r="J50">
        <v>3773.2185217699898</v>
      </c>
      <c r="K50">
        <v>15000.0000119999</v>
      </c>
      <c r="L50">
        <v>14.9634666546958</v>
      </c>
      <c r="M50">
        <v>-44.5220889008596</v>
      </c>
      <c r="N50">
        <v>0.25154790125009402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224452</v>
      </c>
      <c r="I51">
        <v>162.57777777777699</v>
      </c>
      <c r="J51">
        <v>1380.58228540185</v>
      </c>
      <c r="K51">
        <v>2467.8116661794302</v>
      </c>
      <c r="L51">
        <v>90.951835213376398</v>
      </c>
      <c r="M51">
        <v>-71.625942564401299</v>
      </c>
      <c r="N51">
        <v>0.55943583715171397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147069</v>
      </c>
      <c r="I52">
        <v>20.8</v>
      </c>
      <c r="J52">
        <v>7070.625</v>
      </c>
      <c r="K52">
        <v>4500</v>
      </c>
      <c r="L52">
        <v>32.682000000000002</v>
      </c>
      <c r="M52">
        <v>11.882</v>
      </c>
      <c r="N52">
        <v>1.57125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147069</v>
      </c>
      <c r="I53">
        <v>38.606944444444402</v>
      </c>
      <c r="J53">
        <v>3809.3923804727101</v>
      </c>
      <c r="K53">
        <v>1850.000004</v>
      </c>
      <c r="L53">
        <v>79.496756584871804</v>
      </c>
      <c r="M53">
        <v>40.889812140427402</v>
      </c>
      <c r="N53">
        <v>2.0591310120195598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147069</v>
      </c>
      <c r="I54">
        <v>316.96111111111099</v>
      </c>
      <c r="J54">
        <v>463.99698525932001</v>
      </c>
      <c r="K54">
        <v>285.45780035443198</v>
      </c>
      <c r="L54">
        <v>515.20399798987796</v>
      </c>
      <c r="M54">
        <v>198.242886878767</v>
      </c>
      <c r="N54">
        <v>1.6254486116098701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12097</v>
      </c>
      <c r="I65">
        <v>9.2783333333333307</v>
      </c>
      <c r="J65">
        <v>1303.7901922040501</v>
      </c>
      <c r="K65">
        <v>1244.000016</v>
      </c>
      <c r="L65">
        <v>9.7242764022601094</v>
      </c>
      <c r="M65">
        <v>0.44594306892677799</v>
      </c>
      <c r="N65">
        <v>1.0480628419895901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63605</v>
      </c>
      <c r="I66">
        <v>330.00416666666598</v>
      </c>
      <c r="J66">
        <v>192.73999065668301</v>
      </c>
      <c r="K66">
        <v>288</v>
      </c>
      <c r="L66">
        <v>220.850694444444</v>
      </c>
      <c r="M66">
        <v>-109.15347222222201</v>
      </c>
      <c r="N66">
        <v>0.66923607866904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779</v>
      </c>
      <c r="I67">
        <v>4.2841666666666596</v>
      </c>
      <c r="J67">
        <v>181.83232834078899</v>
      </c>
      <c r="K67">
        <v>117</v>
      </c>
      <c r="L67">
        <v>6.6581196581196496</v>
      </c>
      <c r="M67">
        <v>2.37395299145299</v>
      </c>
      <c r="N67">
        <v>1.55412246445119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76481</v>
      </c>
      <c r="I69">
        <v>343.56666666666598</v>
      </c>
      <c r="J69">
        <v>222.60890656835099</v>
      </c>
      <c r="K69">
        <v>322.387571806491</v>
      </c>
      <c r="L69">
        <v>237.23309050482399</v>
      </c>
      <c r="M69">
        <v>-106.333576161842</v>
      </c>
      <c r="N69">
        <v>0.69050089406662696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77383</v>
      </c>
      <c r="I70">
        <v>47.743333333333297</v>
      </c>
      <c r="J70">
        <v>1620.81267890805</v>
      </c>
      <c r="K70">
        <v>3465</v>
      </c>
      <c r="L70">
        <v>22.332756132756099</v>
      </c>
      <c r="M70">
        <v>-25.410577200577201</v>
      </c>
      <c r="N70">
        <v>0.46776700689987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77383</v>
      </c>
      <c r="I71">
        <v>60.269444444444403</v>
      </c>
      <c r="J71">
        <v>1283.9507766050599</v>
      </c>
      <c r="K71">
        <v>1524.999996</v>
      </c>
      <c r="L71">
        <v>50.742950952768297</v>
      </c>
      <c r="M71">
        <v>-9.5264934916760495</v>
      </c>
      <c r="N71">
        <v>0.84193493768708205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77383</v>
      </c>
      <c r="I72">
        <v>28.566666666666599</v>
      </c>
      <c r="J72">
        <v>2708.8564760793402</v>
      </c>
      <c r="K72">
        <v>3499.999992</v>
      </c>
      <c r="L72">
        <v>22.109428621964401</v>
      </c>
      <c r="M72">
        <v>-6.4572380447022599</v>
      </c>
      <c r="N72">
        <v>0.77395899493457598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77383</v>
      </c>
      <c r="I73">
        <v>13.875277777777701</v>
      </c>
      <c r="J73">
        <v>5577.0415006706498</v>
      </c>
      <c r="K73">
        <v>5000.0000040000004</v>
      </c>
      <c r="L73">
        <v>15.4765999876187</v>
      </c>
      <c r="M73">
        <v>1.6013222098409401</v>
      </c>
      <c r="N73">
        <v>1.1154082992418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77383</v>
      </c>
      <c r="I74">
        <v>494.021388888888</v>
      </c>
      <c r="J74">
        <v>156.638966936316</v>
      </c>
      <c r="K74">
        <v>222.43216677079499</v>
      </c>
      <c r="L74">
        <v>347.894826199931</v>
      </c>
      <c r="M74">
        <v>-146.12656268895699</v>
      </c>
      <c r="N74">
        <v>0.70421004844018398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76481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77383</v>
      </c>
      <c r="I161">
        <v>63.416388888888797</v>
      </c>
      <c r="J161">
        <v>1220.2366195208899</v>
      </c>
      <c r="K161">
        <v>974.59697732997404</v>
      </c>
      <c r="L161">
        <v>79.400000000000006</v>
      </c>
      <c r="M161">
        <v>15.983611111111101</v>
      </c>
      <c r="N161">
        <v>1.25204227788996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77383</v>
      </c>
      <c r="I162">
        <v>0</v>
      </c>
      <c r="J162">
        <v>0</v>
      </c>
      <c r="K162">
        <v>7300.28301886792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77383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77383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224452</v>
      </c>
      <c r="I165">
        <v>65.708055555555504</v>
      </c>
      <c r="J165">
        <v>3415.89776325412</v>
      </c>
      <c r="K165">
        <v>2499.999984</v>
      </c>
      <c r="L165">
        <v>89.780800574597095</v>
      </c>
      <c r="M165">
        <v>24.072745019041498</v>
      </c>
      <c r="N165">
        <v>1.36635911404634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77383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147069</v>
      </c>
      <c r="I170">
        <v>316.96111111111099</v>
      </c>
      <c r="J170">
        <v>463.99698525932001</v>
      </c>
      <c r="K170">
        <v>285.45780035443198</v>
      </c>
      <c r="L170">
        <v>515.20399798987796</v>
      </c>
      <c r="M170">
        <v>198.242886878767</v>
      </c>
      <c r="N170">
        <v>1.6254486116098701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147069</v>
      </c>
      <c r="I172">
        <v>316.96111111111099</v>
      </c>
      <c r="J172">
        <v>463.99698525932001</v>
      </c>
      <c r="K172">
        <v>285.45780035443198</v>
      </c>
      <c r="L172">
        <v>515.20399798987796</v>
      </c>
      <c r="M172">
        <v>198.242886878767</v>
      </c>
      <c r="N172">
        <v>1.6254486116098701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77383</v>
      </c>
      <c r="I174">
        <v>494.021388888888</v>
      </c>
      <c r="J174">
        <v>156.638966936316</v>
      </c>
      <c r="K174">
        <v>222.43216677079499</v>
      </c>
      <c r="L174">
        <v>347.894826199931</v>
      </c>
      <c r="M174">
        <v>-146.12656268895699</v>
      </c>
      <c r="N174">
        <v>0.70421004844018398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77383</v>
      </c>
      <c r="I177">
        <v>129.12444444444401</v>
      </c>
      <c r="J177">
        <v>599.29009052421395</v>
      </c>
      <c r="K177">
        <v>430.42972193179799</v>
      </c>
      <c r="L177">
        <v>179.78080057459701</v>
      </c>
      <c r="M177">
        <v>50.656356130152602</v>
      </c>
      <c r="N177">
        <v>1.39230647882436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224452</v>
      </c>
      <c r="I179">
        <v>940.10694444444403</v>
      </c>
      <c r="J179">
        <v>238.751560475536</v>
      </c>
      <c r="K179">
        <v>215.22330542290999</v>
      </c>
      <c r="L179">
        <v>1042.8796247644</v>
      </c>
      <c r="M179">
        <v>102.77268031996201</v>
      </c>
      <c r="N179">
        <v>1.10932020120401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147069</v>
      </c>
      <c r="I180">
        <v>316.96111111111099</v>
      </c>
      <c r="J180">
        <v>463.99698525932001</v>
      </c>
      <c r="K180">
        <v>285.45780035443198</v>
      </c>
      <c r="L180">
        <v>515.20399798987796</v>
      </c>
      <c r="M180">
        <v>198.242886878767</v>
      </c>
      <c r="N180">
        <v>1.6254486116098701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77383</v>
      </c>
      <c r="I181">
        <v>494.021388888888</v>
      </c>
      <c r="J181">
        <v>156.638966936316</v>
      </c>
      <c r="K181">
        <v>222.43216677079499</v>
      </c>
      <c r="L181">
        <v>347.894826199931</v>
      </c>
      <c r="M181">
        <v>-146.12656268895699</v>
      </c>
      <c r="N181">
        <v>0.70421004844018398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77383</v>
      </c>
      <c r="I183">
        <v>129.12444444444401</v>
      </c>
      <c r="J183">
        <v>599.29009052421395</v>
      </c>
      <c r="K183">
        <v>430.42972193179799</v>
      </c>
      <c r="L183">
        <v>179.78080057459701</v>
      </c>
      <c r="M183">
        <v>50.656356130152602</v>
      </c>
      <c r="N183">
        <v>1.39230647882436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224452</v>
      </c>
      <c r="I185">
        <v>940.10694444444403</v>
      </c>
      <c r="J185">
        <v>238.751560475536</v>
      </c>
      <c r="K185">
        <v>215.22330542290999</v>
      </c>
      <c r="L185">
        <v>1042.8796247644</v>
      </c>
      <c r="M185">
        <v>102.77268031996201</v>
      </c>
      <c r="N185">
        <v>1.10932020120401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18"/>
  <sheetViews>
    <sheetView workbookViewId="0">
      <selection sqref="A1:A1048576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61165</v>
      </c>
      <c r="I2">
        <v>19.150555555555499</v>
      </c>
      <c r="J2">
        <v>3193.90212062313</v>
      </c>
      <c r="K2">
        <v>995.00000399999999</v>
      </c>
      <c r="L2">
        <v>61.472361561920103</v>
      </c>
      <c r="M2">
        <v>42.321806006364604</v>
      </c>
      <c r="N2">
        <v>3.2099518671189098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827</v>
      </c>
      <c r="I3">
        <v>0.93138888888888804</v>
      </c>
      <c r="J3">
        <v>887.92126453921799</v>
      </c>
      <c r="K3">
        <v>275.00000399999999</v>
      </c>
      <c r="L3">
        <v>3.0072726835305699</v>
      </c>
      <c r="M3">
        <v>2.0758837946416899</v>
      </c>
      <c r="N3">
        <v>3.2288045513600001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1673</v>
      </c>
      <c r="I4">
        <v>2.28527777777777</v>
      </c>
      <c r="J4">
        <v>732.07730643004697</v>
      </c>
      <c r="K4">
        <v>101.999988</v>
      </c>
      <c r="L4">
        <v>16.401962713956301</v>
      </c>
      <c r="M4">
        <v>14.116684936178601</v>
      </c>
      <c r="N4">
        <v>7.1772293387921504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32</v>
      </c>
      <c r="I5">
        <v>3.0105555555555501</v>
      </c>
      <c r="J5">
        <v>10.629267392507799</v>
      </c>
      <c r="K5">
        <v>52.999991999999999</v>
      </c>
      <c r="L5">
        <v>0.60377367604130905</v>
      </c>
      <c r="M5">
        <v>-2.4067818795142402</v>
      </c>
      <c r="N5">
        <v>0.200552245225015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5</v>
      </c>
      <c r="I6">
        <v>3.8888888888888799E-2</v>
      </c>
      <c r="J6">
        <v>128.57142857142799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2537</v>
      </c>
      <c r="I7">
        <v>6.2661111111111101</v>
      </c>
      <c r="J7">
        <v>404.87631882259001</v>
      </c>
      <c r="K7">
        <v>126.767543585225</v>
      </c>
      <c r="L7">
        <v>20.013009073528199</v>
      </c>
      <c r="M7">
        <v>13.746897962417099</v>
      </c>
      <c r="N7">
        <v>3.1938484202811299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3889</v>
      </c>
      <c r="I14">
        <v>0.193888888888888</v>
      </c>
      <c r="J14">
        <v>20057.879656160399</v>
      </c>
      <c r="K14">
        <v>524.99998800000003</v>
      </c>
      <c r="L14">
        <v>7.40761921693605</v>
      </c>
      <c r="M14">
        <v>7.2137303280471601</v>
      </c>
      <c r="N14">
        <v>38.2054859326215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31</v>
      </c>
      <c r="I15">
        <v>4.9577777777777703</v>
      </c>
      <c r="J15">
        <v>6.2528014343343798</v>
      </c>
      <c r="K15">
        <v>11.999988</v>
      </c>
      <c r="L15">
        <v>2.5833359166692502</v>
      </c>
      <c r="M15">
        <v>-2.3744418611085201</v>
      </c>
      <c r="N15">
        <v>0.52106730726183803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61165</v>
      </c>
      <c r="I16">
        <v>46.563055555555501</v>
      </c>
      <c r="J16">
        <v>1313.5950652341201</v>
      </c>
      <c r="K16">
        <v>2000.00001599999</v>
      </c>
      <c r="L16">
        <v>30.582499755339999</v>
      </c>
      <c r="M16">
        <v>-15.9805558002155</v>
      </c>
      <c r="N16">
        <v>0.65679752736268004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61165</v>
      </c>
      <c r="I17">
        <v>77.131388888888793</v>
      </c>
      <c r="J17">
        <v>792.99751866403994</v>
      </c>
      <c r="K17">
        <v>501.11083518312199</v>
      </c>
      <c r="L17">
        <v>122.058825524393</v>
      </c>
      <c r="M17">
        <v>44.927436635504797</v>
      </c>
      <c r="N17">
        <v>1.5824792899843201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4132</v>
      </c>
      <c r="I46">
        <v>88.129444444444403</v>
      </c>
      <c r="J46">
        <v>46.885578662699402</v>
      </c>
      <c r="K46">
        <v>86.000004000000004</v>
      </c>
      <c r="L46">
        <v>48.046509393185602</v>
      </c>
      <c r="M46">
        <v>-40.082935051258801</v>
      </c>
      <c r="N46">
        <v>0.54518112188342904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21</v>
      </c>
      <c r="I48">
        <v>0.45555555555555499</v>
      </c>
      <c r="J48">
        <v>46.097560975609703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135675</v>
      </c>
      <c r="I50">
        <v>54.420277777777699</v>
      </c>
      <c r="J50">
        <v>2493.09642545415</v>
      </c>
      <c r="K50">
        <v>15000.0000119999</v>
      </c>
      <c r="L50">
        <v>9.0449999927639997</v>
      </c>
      <c r="M50">
        <v>-45.375277785013701</v>
      </c>
      <c r="N50">
        <v>0.16620642823064499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135675</v>
      </c>
      <c r="I51">
        <v>143.005277777777</v>
      </c>
      <c r="J51">
        <v>948.74120807507097</v>
      </c>
      <c r="K51">
        <v>2376.4479422467298</v>
      </c>
      <c r="L51">
        <v>57.0915093859496</v>
      </c>
      <c r="M51">
        <v>-85.9137683918281</v>
      </c>
      <c r="N51">
        <v>0.39922658990716797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61165</v>
      </c>
      <c r="I52">
        <v>27.183333333333302</v>
      </c>
      <c r="J52">
        <v>2250.0919681177102</v>
      </c>
      <c r="K52">
        <v>4500</v>
      </c>
      <c r="L52">
        <v>13.592222222222199</v>
      </c>
      <c r="M52">
        <v>-13.5911111111111</v>
      </c>
      <c r="N52">
        <v>0.50002043735949298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61165</v>
      </c>
      <c r="I53">
        <v>24.043611111111101</v>
      </c>
      <c r="J53">
        <v>2543.9190360109501</v>
      </c>
      <c r="K53">
        <v>1850.000004</v>
      </c>
      <c r="L53">
        <v>33.062162090676402</v>
      </c>
      <c r="M53">
        <v>9.0185509795652905</v>
      </c>
      <c r="N53">
        <v>1.3750913678435599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61165</v>
      </c>
      <c r="I54">
        <v>271.36361111111103</v>
      </c>
      <c r="J54">
        <v>225.39868094162199</v>
      </c>
      <c r="K54">
        <v>270.875649589631</v>
      </c>
      <c r="L54">
        <v>225.80471922324199</v>
      </c>
      <c r="M54">
        <v>-45.558891887869102</v>
      </c>
      <c r="N54">
        <v>0.83211127055198697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10478</v>
      </c>
      <c r="I65">
        <v>8.3566666666666602</v>
      </c>
      <c r="J65">
        <v>1253.8492221778999</v>
      </c>
      <c r="K65">
        <v>1244.000016</v>
      </c>
      <c r="L65">
        <v>8.4228294736613503</v>
      </c>
      <c r="M65">
        <v>6.6162806994691098E-2</v>
      </c>
      <c r="N65">
        <v>1.00791736820837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60879</v>
      </c>
      <c r="I66">
        <v>325.89027777777699</v>
      </c>
      <c r="J66">
        <v>186.80827306395699</v>
      </c>
      <c r="K66">
        <v>288</v>
      </c>
      <c r="L66">
        <v>211.385416666666</v>
      </c>
      <c r="M66">
        <v>-114.504861111111</v>
      </c>
      <c r="N66">
        <v>0.64863983702762895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1900</v>
      </c>
      <c r="I67">
        <v>11.3294444444444</v>
      </c>
      <c r="J67">
        <v>167.70460452115901</v>
      </c>
      <c r="K67">
        <v>117</v>
      </c>
      <c r="L67">
        <v>16.239316239316199</v>
      </c>
      <c r="M67">
        <v>4.9098717948717896</v>
      </c>
      <c r="N67">
        <v>1.4333726882150299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73257</v>
      </c>
      <c r="I69">
        <v>345.576388888888</v>
      </c>
      <c r="J69">
        <v>211.984968751883</v>
      </c>
      <c r="K69">
        <v>310.34847071276999</v>
      </c>
      <c r="L69">
        <v>236.04756237964401</v>
      </c>
      <c r="M69">
        <v>-109.528826509244</v>
      </c>
      <c r="N69">
        <v>0.68305465873578297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74510</v>
      </c>
      <c r="I70">
        <v>37.063055555555501</v>
      </c>
      <c r="J70">
        <v>2010.3577236991</v>
      </c>
      <c r="K70">
        <v>3465</v>
      </c>
      <c r="L70">
        <v>21.503607503607501</v>
      </c>
      <c r="M70">
        <v>-15.559448051947999</v>
      </c>
      <c r="N70">
        <v>0.58018981924937896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74510</v>
      </c>
      <c r="I71">
        <v>80.864722222222198</v>
      </c>
      <c r="J71">
        <v>921.415395396289</v>
      </c>
      <c r="K71">
        <v>1524.999996</v>
      </c>
      <c r="L71">
        <v>48.859016521597397</v>
      </c>
      <c r="M71">
        <v>-32.005705700624802</v>
      </c>
      <c r="N71">
        <v>0.60420681823810896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74510</v>
      </c>
      <c r="I72">
        <v>27.905833333333302</v>
      </c>
      <c r="J72">
        <v>2670.05106459223</v>
      </c>
      <c r="K72">
        <v>3499.999992</v>
      </c>
      <c r="L72">
        <v>21.288571477230999</v>
      </c>
      <c r="M72">
        <v>-6.61726185610231</v>
      </c>
      <c r="N72">
        <v>0.76287173448434298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74510</v>
      </c>
      <c r="I73">
        <v>13.2488888888888</v>
      </c>
      <c r="J73">
        <v>5623.8678295873797</v>
      </c>
      <c r="K73">
        <v>5000.0000040000004</v>
      </c>
      <c r="L73">
        <v>14.9019999880784</v>
      </c>
      <c r="M73">
        <v>1.6531110991895099</v>
      </c>
      <c r="N73">
        <v>1.12477356501765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74510</v>
      </c>
      <c r="I74">
        <v>504.65888888888799</v>
      </c>
      <c r="J74">
        <v>147.64428337733</v>
      </c>
      <c r="K74">
        <v>217.48346519489701</v>
      </c>
      <c r="L74">
        <v>342.60075787015802</v>
      </c>
      <c r="M74">
        <v>-162.05813101872999</v>
      </c>
      <c r="N74">
        <v>0.67887590095651495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14</v>
      </c>
      <c r="I76">
        <v>1.41333333333333</v>
      </c>
      <c r="J76">
        <v>9.9056603773584904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6</v>
      </c>
      <c r="I77">
        <v>0.115555555555555</v>
      </c>
      <c r="J77">
        <v>51.923076923076898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20</v>
      </c>
      <c r="I79">
        <v>1.5288888888888801</v>
      </c>
      <c r="J79">
        <v>13.0813953488372</v>
      </c>
      <c r="K79">
        <v>0</v>
      </c>
      <c r="L79">
        <v>0</v>
      </c>
      <c r="M79">
        <v>-1.5288888888888801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73277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20</v>
      </c>
      <c r="I81">
        <v>1.5288888888888801</v>
      </c>
      <c r="J81">
        <v>13.0813953488372</v>
      </c>
      <c r="K81">
        <v>0</v>
      </c>
      <c r="L81">
        <v>0</v>
      </c>
      <c r="M81">
        <v>-1.5288888888888801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1.5288888888888801</v>
      </c>
      <c r="J121">
        <v>0</v>
      </c>
      <c r="K121">
        <v>0</v>
      </c>
      <c r="L121">
        <v>0</v>
      </c>
      <c r="M121">
        <v>-1.5288888888888801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74510</v>
      </c>
      <c r="I161">
        <v>51.356666666666598</v>
      </c>
      <c r="J161">
        <v>1450.8340364769199</v>
      </c>
      <c r="K161">
        <v>938.413098236775</v>
      </c>
      <c r="L161">
        <v>79.400000000000006</v>
      </c>
      <c r="M161">
        <v>28.043333333333301</v>
      </c>
      <c r="N161">
        <v>1.5460504965275499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74510</v>
      </c>
      <c r="I162">
        <v>0</v>
      </c>
      <c r="J162">
        <v>0</v>
      </c>
      <c r="K162">
        <v>7029.2452830188604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74510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74510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135675</v>
      </c>
      <c r="I165">
        <v>59.4</v>
      </c>
      <c r="J165">
        <v>2284.0909090908999</v>
      </c>
      <c r="K165">
        <v>2499.999984</v>
      </c>
      <c r="L165">
        <v>54.270000347328001</v>
      </c>
      <c r="M165">
        <v>-5.1299996526719998</v>
      </c>
      <c r="N165">
        <v>0.91363636948363602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74510</v>
      </c>
      <c r="I166">
        <v>10.466666666666599</v>
      </c>
      <c r="J166">
        <v>7118.7898089171904</v>
      </c>
      <c r="K166">
        <v>0</v>
      </c>
      <c r="L166">
        <v>0</v>
      </c>
      <c r="M166">
        <v>-10.466666666666599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61165</v>
      </c>
      <c r="I170">
        <v>271.36361111111103</v>
      </c>
      <c r="J170">
        <v>225.39868094162199</v>
      </c>
      <c r="K170">
        <v>270.875649589631</v>
      </c>
      <c r="L170">
        <v>225.80471922324199</v>
      </c>
      <c r="M170">
        <v>-45.558891887869102</v>
      </c>
      <c r="N170">
        <v>0.83211127055198697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61165</v>
      </c>
      <c r="I172">
        <v>271.36361111111103</v>
      </c>
      <c r="J172">
        <v>225.39868094162199</v>
      </c>
      <c r="K172">
        <v>270.875649589631</v>
      </c>
      <c r="L172">
        <v>225.80471922324199</v>
      </c>
      <c r="M172">
        <v>-45.558891887869102</v>
      </c>
      <c r="N172">
        <v>0.83211127055198697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1.5288888888888801</v>
      </c>
      <c r="J173">
        <v>0</v>
      </c>
      <c r="K173">
        <v>0</v>
      </c>
      <c r="L173">
        <v>0</v>
      </c>
      <c r="M173">
        <v>-1.5288888888888801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74510</v>
      </c>
      <c r="I174">
        <v>504.65888888888799</v>
      </c>
      <c r="J174">
        <v>147.64428337733</v>
      </c>
      <c r="K174">
        <v>217.48346519489701</v>
      </c>
      <c r="L174">
        <v>342.60075787015802</v>
      </c>
      <c r="M174">
        <v>-162.05813101872999</v>
      </c>
      <c r="N174">
        <v>0.67887590095651495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74510</v>
      </c>
      <c r="I177">
        <v>121.223333333333</v>
      </c>
      <c r="J177">
        <v>614.65064481535398</v>
      </c>
      <c r="K177">
        <v>516.46218770789596</v>
      </c>
      <c r="L177">
        <v>144.27000034732799</v>
      </c>
      <c r="M177">
        <v>23.0466670139946</v>
      </c>
      <c r="N177">
        <v>1.19011741700438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135675</v>
      </c>
      <c r="I179">
        <v>898.77472222222195</v>
      </c>
      <c r="J179">
        <v>150.955513818349</v>
      </c>
      <c r="K179">
        <v>190.37416649611501</v>
      </c>
      <c r="L179">
        <v>712.67547744072795</v>
      </c>
      <c r="M179">
        <v>-186.09924478149301</v>
      </c>
      <c r="N179">
        <v>0.79294116736910103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61165</v>
      </c>
      <c r="I180">
        <v>271.36361111111103</v>
      </c>
      <c r="J180">
        <v>225.39868094162199</v>
      </c>
      <c r="K180">
        <v>270.875649589631</v>
      </c>
      <c r="L180">
        <v>225.80471922324199</v>
      </c>
      <c r="M180">
        <v>-45.558891887869102</v>
      </c>
      <c r="N180">
        <v>0.83211127055198697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74510</v>
      </c>
      <c r="I181">
        <v>504.65888888888799</v>
      </c>
      <c r="J181">
        <v>147.64428337733</v>
      </c>
      <c r="K181">
        <v>217.48346519489701</v>
      </c>
      <c r="L181">
        <v>342.60075787015802</v>
      </c>
      <c r="M181">
        <v>-162.05813101872999</v>
      </c>
      <c r="N181">
        <v>0.67887590095651495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74510</v>
      </c>
      <c r="I183">
        <v>121.223333333333</v>
      </c>
      <c r="J183">
        <v>614.65064481535398</v>
      </c>
      <c r="K183">
        <v>516.46218770789596</v>
      </c>
      <c r="L183">
        <v>144.27000034732799</v>
      </c>
      <c r="M183">
        <v>23.0466670139946</v>
      </c>
      <c r="N183">
        <v>1.19011741700438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135675</v>
      </c>
      <c r="I185">
        <v>897.24583333333305</v>
      </c>
      <c r="J185">
        <v>151.21273898364899</v>
      </c>
      <c r="K185">
        <v>190.37416649611501</v>
      </c>
      <c r="L185">
        <v>712.67547744072795</v>
      </c>
      <c r="M185">
        <v>-184.570355892604</v>
      </c>
      <c r="N185">
        <v>0.79429232320097498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B18"/>
  <sheetViews>
    <sheetView workbookViewId="0">
      <selection sqref="A1:A1048576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S186"/>
  <sheetViews>
    <sheetView workbookViewId="0">
      <selection sqref="A1:A1048576"/>
    </sheetView>
  </sheetViews>
  <sheetFormatPr defaultRowHeight="15" x14ac:dyDescent="0.25"/>
  <cols>
    <col min="1" max="1" width="18.140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9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</row>
    <row r="2" spans="1:19" x14ac:dyDescent="0.25">
      <c r="A2" t="s">
        <v>53</v>
      </c>
      <c r="B2">
        <v>1</v>
      </c>
      <c r="C2" t="s">
        <v>54</v>
      </c>
      <c r="D2" t="s">
        <v>6</v>
      </c>
      <c r="E2" t="s">
        <v>13</v>
      </c>
      <c r="F2" t="s">
        <v>55</v>
      </c>
      <c r="G2" t="s">
        <v>56</v>
      </c>
      <c r="H2">
        <v>60064</v>
      </c>
      <c r="I2">
        <v>38.755555555555503</v>
      </c>
      <c r="J2">
        <v>1549.8165137614601</v>
      </c>
      <c r="K2">
        <v>995.00000399999999</v>
      </c>
      <c r="L2">
        <v>60.365828903051899</v>
      </c>
      <c r="M2">
        <v>21.6102733474963</v>
      </c>
      <c r="N2">
        <v>1.5576045301819501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25">
      <c r="A3" t="s">
        <v>53</v>
      </c>
      <c r="B3">
        <v>2</v>
      </c>
      <c r="C3" t="s">
        <v>57</v>
      </c>
      <c r="D3" t="s">
        <v>58</v>
      </c>
      <c r="E3" t="s">
        <v>13</v>
      </c>
      <c r="F3" t="s">
        <v>55</v>
      </c>
      <c r="G3" t="s">
        <v>59</v>
      </c>
      <c r="H3">
        <v>595</v>
      </c>
      <c r="I3">
        <v>4.4444444444444398E-2</v>
      </c>
      <c r="J3">
        <v>13387.5</v>
      </c>
      <c r="K3">
        <v>275.00000399999999</v>
      </c>
      <c r="L3">
        <v>2.1636363321652898</v>
      </c>
      <c r="M3">
        <v>2.1191918877208402</v>
      </c>
      <c r="N3">
        <v>48.681817473719001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25">
      <c r="A4" t="s">
        <v>53</v>
      </c>
      <c r="B4">
        <v>3</v>
      </c>
      <c r="C4" t="s">
        <v>60</v>
      </c>
      <c r="D4" t="s">
        <v>61</v>
      </c>
      <c r="E4" t="s">
        <v>13</v>
      </c>
      <c r="F4" t="s">
        <v>55</v>
      </c>
      <c r="G4" t="s">
        <v>59</v>
      </c>
      <c r="H4">
        <v>1115</v>
      </c>
      <c r="I4">
        <v>0.86027777777777703</v>
      </c>
      <c r="J4">
        <v>1296.09299321924</v>
      </c>
      <c r="K4">
        <v>101.999988</v>
      </c>
      <c r="L4">
        <v>10.9313738350635</v>
      </c>
      <c r="M4">
        <v>10.0710960572858</v>
      </c>
      <c r="N4">
        <v>12.7067955460861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25">
      <c r="A5" t="s">
        <v>53</v>
      </c>
      <c r="B5">
        <v>4</v>
      </c>
      <c r="C5" t="s">
        <v>62</v>
      </c>
      <c r="D5" t="s">
        <v>63</v>
      </c>
      <c r="E5" t="s">
        <v>13</v>
      </c>
      <c r="F5" t="s">
        <v>55</v>
      </c>
      <c r="G5" t="s">
        <v>59</v>
      </c>
      <c r="H5">
        <v>1</v>
      </c>
      <c r="I5">
        <v>1.55555555555555E-2</v>
      </c>
      <c r="J5">
        <v>64.285714285714207</v>
      </c>
      <c r="K5">
        <v>52.999991999999999</v>
      </c>
      <c r="L5">
        <v>1.8867927376290901E-2</v>
      </c>
      <c r="M5">
        <v>3.31237182073536E-3</v>
      </c>
      <c r="N5">
        <v>1.2129381884758399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25">
      <c r="A6" t="s">
        <v>53</v>
      </c>
      <c r="B6">
        <v>5</v>
      </c>
      <c r="C6" t="s">
        <v>64</v>
      </c>
      <c r="D6" t="s">
        <v>65</v>
      </c>
      <c r="E6" t="s">
        <v>13</v>
      </c>
      <c r="F6" t="s">
        <v>55</v>
      </c>
      <c r="G6" t="s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25">
      <c r="A7" t="s">
        <v>53</v>
      </c>
      <c r="B7">
        <v>6</v>
      </c>
      <c r="C7" t="s">
        <v>66</v>
      </c>
      <c r="D7" t="s">
        <v>67</v>
      </c>
      <c r="E7" t="s">
        <v>13</v>
      </c>
      <c r="F7" t="s">
        <v>55</v>
      </c>
      <c r="G7" t="s">
        <v>59</v>
      </c>
      <c r="H7">
        <v>1711</v>
      </c>
      <c r="I7">
        <v>0.92027777777777697</v>
      </c>
      <c r="J7">
        <v>1859.22124962269</v>
      </c>
      <c r="K7">
        <v>130.47246494565701</v>
      </c>
      <c r="L7">
        <v>13.1138780946051</v>
      </c>
      <c r="M7">
        <v>12.1936003168273</v>
      </c>
      <c r="N7">
        <v>14.2499128103165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53</v>
      </c>
      <c r="B8">
        <v>7</v>
      </c>
      <c r="C8" t="s">
        <v>68</v>
      </c>
      <c r="D8" t="s">
        <v>69</v>
      </c>
      <c r="E8" t="s">
        <v>13</v>
      </c>
      <c r="F8" t="s">
        <v>55</v>
      </c>
      <c r="G8" t="s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t="s">
        <v>53</v>
      </c>
      <c r="B9">
        <v>8</v>
      </c>
      <c r="C9" t="s">
        <v>70</v>
      </c>
      <c r="D9" t="s">
        <v>71</v>
      </c>
      <c r="E9" t="s">
        <v>13</v>
      </c>
      <c r="F9" t="s">
        <v>55</v>
      </c>
      <c r="G9" t="s">
        <v>59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t="s">
        <v>53</v>
      </c>
      <c r="B10">
        <v>9</v>
      </c>
      <c r="C10" t="s">
        <v>72</v>
      </c>
      <c r="D10" t="s">
        <v>73</v>
      </c>
      <c r="E10" t="s">
        <v>13</v>
      </c>
      <c r="F10" t="s">
        <v>55</v>
      </c>
      <c r="G10" t="s">
        <v>59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25">
      <c r="A11" t="s">
        <v>53</v>
      </c>
      <c r="B11">
        <v>10</v>
      </c>
      <c r="C11" t="s">
        <v>74</v>
      </c>
      <c r="D11" t="s">
        <v>75</v>
      </c>
      <c r="E11" t="s">
        <v>13</v>
      </c>
      <c r="F11" t="s">
        <v>55</v>
      </c>
      <c r="G11" t="s">
        <v>59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t="s">
        <v>53</v>
      </c>
      <c r="B12">
        <v>11</v>
      </c>
      <c r="C12" t="s">
        <v>76</v>
      </c>
      <c r="D12" t="s">
        <v>77</v>
      </c>
      <c r="E12" t="s">
        <v>13</v>
      </c>
      <c r="F12" t="s">
        <v>55</v>
      </c>
      <c r="G12" t="s">
        <v>59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t="s">
        <v>53</v>
      </c>
      <c r="B13">
        <v>12</v>
      </c>
      <c r="C13" t="s">
        <v>78</v>
      </c>
      <c r="D13" t="s">
        <v>79</v>
      </c>
      <c r="E13" t="s">
        <v>13</v>
      </c>
      <c r="F13" t="s">
        <v>55</v>
      </c>
      <c r="G13" t="s">
        <v>80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t="s">
        <v>53</v>
      </c>
      <c r="B14">
        <v>13</v>
      </c>
      <c r="C14" t="s">
        <v>81</v>
      </c>
      <c r="D14" t="s">
        <v>7</v>
      </c>
      <c r="E14" t="s">
        <v>13</v>
      </c>
      <c r="F14" t="s">
        <v>55</v>
      </c>
      <c r="G14" t="s">
        <v>80</v>
      </c>
      <c r="H14">
        <v>7112</v>
      </c>
      <c r="I14">
        <v>5.7763888888888797</v>
      </c>
      <c r="J14">
        <v>1231.21904303919</v>
      </c>
      <c r="K14">
        <v>524.99998800000003</v>
      </c>
      <c r="L14">
        <v>13.546666976304699</v>
      </c>
      <c r="M14">
        <v>7.7702780874158703</v>
      </c>
      <c r="N14">
        <v>2.3451791832025499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25">
      <c r="A15" t="s">
        <v>53</v>
      </c>
      <c r="B15">
        <v>14</v>
      </c>
      <c r="C15" t="s">
        <v>82</v>
      </c>
      <c r="D15" t="s">
        <v>83</v>
      </c>
      <c r="E15" t="s">
        <v>13</v>
      </c>
      <c r="F15" t="s">
        <v>55</v>
      </c>
      <c r="G15" t="s">
        <v>84</v>
      </c>
      <c r="H15">
        <v>76</v>
      </c>
      <c r="I15">
        <v>8.7480555555555508</v>
      </c>
      <c r="J15">
        <v>8.68764487346394</v>
      </c>
      <c r="K15">
        <v>11.999988</v>
      </c>
      <c r="L15">
        <v>6.333339666673</v>
      </c>
      <c r="M15">
        <v>-2.41471588888255</v>
      </c>
      <c r="N15">
        <v>0.72397113009312497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25">
      <c r="A16" t="s">
        <v>53</v>
      </c>
      <c r="B16">
        <v>15</v>
      </c>
      <c r="C16" t="s">
        <v>85</v>
      </c>
      <c r="D16" t="s">
        <v>86</v>
      </c>
      <c r="E16" t="s">
        <v>13</v>
      </c>
      <c r="F16" t="s">
        <v>55</v>
      </c>
      <c r="G16" t="s">
        <v>56</v>
      </c>
      <c r="H16">
        <v>60064</v>
      </c>
      <c r="I16">
        <v>42.913611111111102</v>
      </c>
      <c r="J16">
        <v>1399.6491659600299</v>
      </c>
      <c r="K16">
        <v>2000.00001599999</v>
      </c>
      <c r="L16">
        <v>30.031999759744</v>
      </c>
      <c r="M16">
        <v>-12.8816113513671</v>
      </c>
      <c r="N16">
        <v>0.69982457738142101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t="s">
        <v>53</v>
      </c>
      <c r="B17">
        <v>16</v>
      </c>
      <c r="C17" t="s">
        <v>87</v>
      </c>
      <c r="D17" t="s">
        <v>88</v>
      </c>
      <c r="E17" t="s">
        <v>13</v>
      </c>
      <c r="F17" t="s">
        <v>55</v>
      </c>
      <c r="G17" t="s">
        <v>59</v>
      </c>
      <c r="H17">
        <v>60064</v>
      </c>
      <c r="I17">
        <v>97.113888888888894</v>
      </c>
      <c r="J17">
        <v>618.49031778267204</v>
      </c>
      <c r="K17">
        <v>486.77498954168402</v>
      </c>
      <c r="L17">
        <v>123.39171340037799</v>
      </c>
      <c r="M17">
        <v>26.27782451149</v>
      </c>
      <c r="N17">
        <v>1.27058770699168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53</v>
      </c>
      <c r="B18">
        <v>17</v>
      </c>
      <c r="C18" t="s">
        <v>89</v>
      </c>
      <c r="D18" t="s">
        <v>90</v>
      </c>
      <c r="E18" t="s">
        <v>13</v>
      </c>
      <c r="F18" t="s">
        <v>91</v>
      </c>
      <c r="G18" t="s">
        <v>80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 t="s">
        <v>53</v>
      </c>
      <c r="B19">
        <v>18</v>
      </c>
      <c r="C19" t="s">
        <v>92</v>
      </c>
      <c r="D19" t="s">
        <v>93</v>
      </c>
      <c r="E19" t="s">
        <v>13</v>
      </c>
      <c r="F19" t="s">
        <v>91</v>
      </c>
      <c r="G19" t="s">
        <v>59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 t="s">
        <v>53</v>
      </c>
      <c r="B20">
        <v>19</v>
      </c>
      <c r="C20" t="s">
        <v>94</v>
      </c>
      <c r="D20" t="s">
        <v>95</v>
      </c>
      <c r="E20" t="s">
        <v>13</v>
      </c>
      <c r="F20" t="s">
        <v>91</v>
      </c>
      <c r="G20" t="s">
        <v>59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 t="s">
        <v>53</v>
      </c>
      <c r="B21">
        <v>20</v>
      </c>
      <c r="C21" t="s">
        <v>96</v>
      </c>
      <c r="D21" t="s">
        <v>97</v>
      </c>
      <c r="E21" t="s">
        <v>13</v>
      </c>
      <c r="F21" t="s">
        <v>91</v>
      </c>
      <c r="G21" t="s">
        <v>59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 t="s">
        <v>53</v>
      </c>
      <c r="B22">
        <v>21</v>
      </c>
      <c r="C22" t="s">
        <v>98</v>
      </c>
      <c r="D22" t="s">
        <v>99</v>
      </c>
      <c r="E22" t="s">
        <v>13</v>
      </c>
      <c r="F22" t="s">
        <v>91</v>
      </c>
      <c r="G22" t="s">
        <v>59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 t="s">
        <v>53</v>
      </c>
      <c r="B23">
        <v>22</v>
      </c>
      <c r="C23" t="s">
        <v>100</v>
      </c>
      <c r="D23" t="s">
        <v>101</v>
      </c>
      <c r="E23" t="s">
        <v>13</v>
      </c>
      <c r="F23" t="s">
        <v>91</v>
      </c>
      <c r="G23" t="s">
        <v>59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 t="s">
        <v>53</v>
      </c>
      <c r="B24">
        <v>23</v>
      </c>
      <c r="C24" t="s">
        <v>102</v>
      </c>
      <c r="D24" t="s">
        <v>103</v>
      </c>
      <c r="E24" t="s">
        <v>13</v>
      </c>
      <c r="F24" t="s">
        <v>91</v>
      </c>
      <c r="G24" t="s">
        <v>80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 t="s">
        <v>53</v>
      </c>
      <c r="B25">
        <v>24</v>
      </c>
      <c r="C25" t="s">
        <v>104</v>
      </c>
      <c r="D25" t="s">
        <v>105</v>
      </c>
      <c r="E25" t="s">
        <v>13</v>
      </c>
      <c r="F25" t="s">
        <v>91</v>
      </c>
      <c r="G25" t="s">
        <v>84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 t="s">
        <v>53</v>
      </c>
      <c r="B26">
        <v>25</v>
      </c>
      <c r="C26" t="s">
        <v>106</v>
      </c>
      <c r="D26" t="s">
        <v>107</v>
      </c>
      <c r="E26" t="s">
        <v>13</v>
      </c>
      <c r="F26" t="s">
        <v>91</v>
      </c>
      <c r="G26" t="s">
        <v>56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 t="s">
        <v>53</v>
      </c>
      <c r="B27">
        <v>26</v>
      </c>
      <c r="C27" t="s">
        <v>108</v>
      </c>
      <c r="D27" t="s">
        <v>109</v>
      </c>
      <c r="E27" t="s">
        <v>13</v>
      </c>
      <c r="F27" t="s">
        <v>91</v>
      </c>
      <c r="G27" t="s">
        <v>59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25">
      <c r="A28" t="s">
        <v>53</v>
      </c>
      <c r="B28">
        <v>27</v>
      </c>
      <c r="C28" t="s">
        <v>110</v>
      </c>
      <c r="D28" t="s">
        <v>111</v>
      </c>
      <c r="E28" t="s">
        <v>13</v>
      </c>
      <c r="F28" t="s">
        <v>112</v>
      </c>
      <c r="G28" t="s">
        <v>59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25">
      <c r="A29" t="s">
        <v>53</v>
      </c>
      <c r="B29">
        <v>28</v>
      </c>
      <c r="C29" t="s">
        <v>113</v>
      </c>
      <c r="D29" t="s">
        <v>114</v>
      </c>
      <c r="E29" t="s">
        <v>13</v>
      </c>
      <c r="F29" t="s">
        <v>112</v>
      </c>
      <c r="G29" t="s">
        <v>59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25">
      <c r="A30" t="s">
        <v>53</v>
      </c>
      <c r="B30">
        <v>29</v>
      </c>
      <c r="C30" t="s">
        <v>115</v>
      </c>
      <c r="D30" t="s">
        <v>116</v>
      </c>
      <c r="E30" t="s">
        <v>13</v>
      </c>
      <c r="F30" t="s">
        <v>112</v>
      </c>
      <c r="G30" t="s">
        <v>59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 t="s">
        <v>53</v>
      </c>
      <c r="B31">
        <v>30</v>
      </c>
      <c r="C31" t="s">
        <v>117</v>
      </c>
      <c r="D31" t="s">
        <v>118</v>
      </c>
      <c r="E31" t="s">
        <v>13</v>
      </c>
      <c r="F31" t="s">
        <v>112</v>
      </c>
      <c r="G31" t="s">
        <v>59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 t="s">
        <v>53</v>
      </c>
      <c r="B32">
        <v>31</v>
      </c>
      <c r="C32" t="s">
        <v>119</v>
      </c>
      <c r="D32" t="s">
        <v>120</v>
      </c>
      <c r="E32" t="s">
        <v>13</v>
      </c>
      <c r="F32" t="s">
        <v>112</v>
      </c>
      <c r="G32" t="s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t="s">
        <v>53</v>
      </c>
      <c r="B33">
        <v>32</v>
      </c>
      <c r="C33" t="s">
        <v>121</v>
      </c>
      <c r="D33" t="s">
        <v>122</v>
      </c>
      <c r="E33" t="s">
        <v>13</v>
      </c>
      <c r="F33" t="s">
        <v>112</v>
      </c>
      <c r="G33" t="s">
        <v>59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 t="s">
        <v>53</v>
      </c>
      <c r="B34">
        <v>33</v>
      </c>
      <c r="C34" t="s">
        <v>123</v>
      </c>
      <c r="D34" t="s">
        <v>124</v>
      </c>
      <c r="E34" t="s">
        <v>13</v>
      </c>
      <c r="F34" t="s">
        <v>112</v>
      </c>
      <c r="G34" t="s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 t="s">
        <v>53</v>
      </c>
      <c r="B35">
        <v>34</v>
      </c>
      <c r="C35" t="s">
        <v>125</v>
      </c>
      <c r="D35" t="s">
        <v>126</v>
      </c>
      <c r="E35" t="s">
        <v>13</v>
      </c>
      <c r="F35" t="s">
        <v>112</v>
      </c>
      <c r="G35" t="s">
        <v>56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 t="s">
        <v>53</v>
      </c>
      <c r="B36">
        <v>35</v>
      </c>
      <c r="C36" t="s">
        <v>127</v>
      </c>
      <c r="D36" t="s">
        <v>128</v>
      </c>
      <c r="E36" t="s">
        <v>13</v>
      </c>
      <c r="F36" t="s">
        <v>112</v>
      </c>
      <c r="G36" t="s">
        <v>56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 t="s">
        <v>53</v>
      </c>
      <c r="B37">
        <v>36</v>
      </c>
      <c r="C37" t="s">
        <v>129</v>
      </c>
      <c r="D37" t="s">
        <v>130</v>
      </c>
      <c r="E37" t="s">
        <v>13</v>
      </c>
      <c r="F37" t="s">
        <v>131</v>
      </c>
      <c r="G37" t="s">
        <v>59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 t="s">
        <v>53</v>
      </c>
      <c r="B38">
        <v>37</v>
      </c>
      <c r="C38" t="s">
        <v>132</v>
      </c>
      <c r="D38" t="s">
        <v>133</v>
      </c>
      <c r="E38" t="s">
        <v>13</v>
      </c>
      <c r="F38" t="s">
        <v>131</v>
      </c>
      <c r="G38" t="s">
        <v>59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 t="s">
        <v>53</v>
      </c>
      <c r="B39">
        <v>38</v>
      </c>
      <c r="C39" t="s">
        <v>134</v>
      </c>
      <c r="D39" t="s">
        <v>135</v>
      </c>
      <c r="E39" t="s">
        <v>13</v>
      </c>
      <c r="F39" t="s">
        <v>131</v>
      </c>
      <c r="G39" t="s">
        <v>59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 t="s">
        <v>53</v>
      </c>
      <c r="B40">
        <v>39</v>
      </c>
      <c r="C40" t="s">
        <v>136</v>
      </c>
      <c r="D40" t="s">
        <v>137</v>
      </c>
      <c r="E40" t="s">
        <v>13</v>
      </c>
      <c r="F40" t="s">
        <v>131</v>
      </c>
      <c r="G40" t="s">
        <v>59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t="s">
        <v>53</v>
      </c>
      <c r="B41">
        <v>40</v>
      </c>
      <c r="C41" t="s">
        <v>138</v>
      </c>
      <c r="D41" t="s">
        <v>139</v>
      </c>
      <c r="E41" t="s">
        <v>13</v>
      </c>
      <c r="F41" t="s">
        <v>131</v>
      </c>
      <c r="G41" t="s">
        <v>59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25">
      <c r="A42" t="s">
        <v>53</v>
      </c>
      <c r="B42">
        <v>41</v>
      </c>
      <c r="C42" t="s">
        <v>140</v>
      </c>
      <c r="D42" t="s">
        <v>141</v>
      </c>
      <c r="E42" t="s">
        <v>13</v>
      </c>
      <c r="F42" t="s">
        <v>131</v>
      </c>
      <c r="G42" t="s">
        <v>80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25">
      <c r="A43" t="s">
        <v>53</v>
      </c>
      <c r="B43">
        <v>42</v>
      </c>
      <c r="C43" t="s">
        <v>142</v>
      </c>
      <c r="D43" t="s">
        <v>143</v>
      </c>
      <c r="E43" t="s">
        <v>13</v>
      </c>
      <c r="F43" t="s">
        <v>131</v>
      </c>
      <c r="G43" t="s">
        <v>84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25">
      <c r="A44" t="s">
        <v>53</v>
      </c>
      <c r="B44">
        <v>43</v>
      </c>
      <c r="C44" t="s">
        <v>144</v>
      </c>
      <c r="D44" t="s">
        <v>145</v>
      </c>
      <c r="E44" t="s">
        <v>13</v>
      </c>
      <c r="F44" t="s">
        <v>131</v>
      </c>
      <c r="G44" t="s">
        <v>59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25">
      <c r="A45" t="s">
        <v>53</v>
      </c>
      <c r="B45">
        <v>44</v>
      </c>
      <c r="C45" t="s">
        <v>146</v>
      </c>
      <c r="D45" t="s">
        <v>147</v>
      </c>
      <c r="E45" t="s">
        <v>13</v>
      </c>
      <c r="F45" t="s">
        <v>131</v>
      </c>
      <c r="G45" t="s">
        <v>59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25">
      <c r="A46" t="s">
        <v>53</v>
      </c>
      <c r="B46">
        <v>45</v>
      </c>
      <c r="C46" t="s">
        <v>148</v>
      </c>
      <c r="D46" t="s">
        <v>149</v>
      </c>
      <c r="E46" t="s">
        <v>13</v>
      </c>
      <c r="F46" t="s">
        <v>150</v>
      </c>
      <c r="G46" t="s">
        <v>80</v>
      </c>
      <c r="H46">
        <v>7344</v>
      </c>
      <c r="I46">
        <v>102.803888888888</v>
      </c>
      <c r="J46">
        <v>71.436986279161502</v>
      </c>
      <c r="K46">
        <v>86.000004000000004</v>
      </c>
      <c r="L46">
        <v>85.395344865332802</v>
      </c>
      <c r="M46">
        <v>-17.408544023556001</v>
      </c>
      <c r="N46">
        <v>0.83066259251757102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25">
      <c r="A47" t="s">
        <v>53</v>
      </c>
      <c r="B47">
        <v>46</v>
      </c>
      <c r="C47" t="s">
        <v>151</v>
      </c>
      <c r="D47" t="s">
        <v>152</v>
      </c>
      <c r="E47" t="s">
        <v>13</v>
      </c>
      <c r="F47" t="s">
        <v>150</v>
      </c>
      <c r="G47" t="s">
        <v>153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25">
      <c r="A48" t="s">
        <v>53</v>
      </c>
      <c r="B48">
        <v>47</v>
      </c>
      <c r="C48" t="s">
        <v>154</v>
      </c>
      <c r="D48" t="s">
        <v>155</v>
      </c>
      <c r="E48" t="s">
        <v>13</v>
      </c>
      <c r="F48" t="s">
        <v>150</v>
      </c>
      <c r="G48" t="s">
        <v>84</v>
      </c>
      <c r="H48">
        <v>89</v>
      </c>
      <c r="I48">
        <v>14.9297222222222</v>
      </c>
      <c r="J48">
        <v>5.9612629542113904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25">
      <c r="A49" t="s">
        <v>53</v>
      </c>
      <c r="B49">
        <v>48</v>
      </c>
      <c r="C49" t="s">
        <v>156</v>
      </c>
      <c r="D49" t="s">
        <v>157</v>
      </c>
      <c r="E49" t="s">
        <v>13</v>
      </c>
      <c r="F49" t="s">
        <v>150</v>
      </c>
      <c r="G49" t="s">
        <v>158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25">
      <c r="A50" t="s">
        <v>53</v>
      </c>
      <c r="B50">
        <v>49</v>
      </c>
      <c r="C50" t="s">
        <v>159</v>
      </c>
      <c r="D50" t="s">
        <v>160</v>
      </c>
      <c r="E50" t="s">
        <v>13</v>
      </c>
      <c r="F50" t="s">
        <v>150</v>
      </c>
      <c r="G50" t="s">
        <v>56</v>
      </c>
      <c r="H50">
        <v>131235</v>
      </c>
      <c r="I50">
        <v>53.110277777777704</v>
      </c>
      <c r="J50">
        <v>2470.9906536190401</v>
      </c>
      <c r="K50">
        <v>15000.0000119999</v>
      </c>
      <c r="L50">
        <v>8.7489999930007993</v>
      </c>
      <c r="M50">
        <v>-44.361277784776902</v>
      </c>
      <c r="N50">
        <v>0.16473271010948301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25">
      <c r="A51" t="s">
        <v>53</v>
      </c>
      <c r="B51">
        <v>50</v>
      </c>
      <c r="C51" t="s">
        <v>161</v>
      </c>
      <c r="D51" t="s">
        <v>162</v>
      </c>
      <c r="E51" t="s">
        <v>13</v>
      </c>
      <c r="F51" t="s">
        <v>150</v>
      </c>
      <c r="G51" t="s">
        <v>56</v>
      </c>
      <c r="H51">
        <v>131235</v>
      </c>
      <c r="I51">
        <v>170.84388888888799</v>
      </c>
      <c r="J51">
        <v>768.15741466380905</v>
      </c>
      <c r="K51">
        <v>1393.9764538961899</v>
      </c>
      <c r="L51">
        <v>94.144344858333596</v>
      </c>
      <c r="M51">
        <v>-76.699544030555202</v>
      </c>
      <c r="N51">
        <v>0.55105479903680898</v>
      </c>
      <c r="P51">
        <v>0</v>
      </c>
      <c r="Q51">
        <v>0</v>
      </c>
      <c r="R51">
        <v>0</v>
      </c>
      <c r="S51">
        <v>0</v>
      </c>
    </row>
    <row r="52" spans="1:19" x14ac:dyDescent="0.25">
      <c r="A52" t="s">
        <v>53</v>
      </c>
      <c r="B52">
        <v>51</v>
      </c>
      <c r="C52" t="s">
        <v>163</v>
      </c>
      <c r="D52" t="s">
        <v>164</v>
      </c>
      <c r="E52" t="s">
        <v>13</v>
      </c>
      <c r="F52" t="s">
        <v>164</v>
      </c>
      <c r="G52" t="s">
        <v>56</v>
      </c>
      <c r="H52">
        <v>60064</v>
      </c>
      <c r="I52">
        <v>20.883333333333301</v>
      </c>
      <c r="J52">
        <v>2876.1691939345501</v>
      </c>
      <c r="K52">
        <v>4500</v>
      </c>
      <c r="L52">
        <v>13.3475555555555</v>
      </c>
      <c r="M52">
        <v>-7.5357777777777697</v>
      </c>
      <c r="N52">
        <v>0.63914870976323401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25">
      <c r="A53" t="s">
        <v>53</v>
      </c>
      <c r="B53">
        <v>52</v>
      </c>
      <c r="C53" t="s">
        <v>165</v>
      </c>
      <c r="D53" t="s">
        <v>166</v>
      </c>
      <c r="E53" t="s">
        <v>13</v>
      </c>
      <c r="F53" t="s">
        <v>167</v>
      </c>
      <c r="G53" t="s">
        <v>56</v>
      </c>
      <c r="H53">
        <v>60064</v>
      </c>
      <c r="I53">
        <v>20.5130555555555</v>
      </c>
      <c r="J53">
        <v>2928.08644900943</v>
      </c>
      <c r="K53">
        <v>1850.000004</v>
      </c>
      <c r="L53">
        <v>32.467026956828001</v>
      </c>
      <c r="M53">
        <v>11.953971401272399</v>
      </c>
      <c r="N53">
        <v>1.58274942847483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25">
      <c r="A54" t="s">
        <v>53</v>
      </c>
      <c r="B54">
        <v>53</v>
      </c>
      <c r="C54" t="s">
        <v>168</v>
      </c>
      <c r="D54" t="s">
        <v>11</v>
      </c>
      <c r="E54" t="s">
        <v>13</v>
      </c>
      <c r="F54" t="s">
        <v>169</v>
      </c>
      <c r="G54" t="s">
        <v>59</v>
      </c>
      <c r="H54">
        <v>60064</v>
      </c>
      <c r="I54">
        <v>309.354166666666</v>
      </c>
      <c r="J54">
        <v>194.15933732911299</v>
      </c>
      <c r="K54">
        <v>228.07614906168899</v>
      </c>
      <c r="L54">
        <v>263.35064077109598</v>
      </c>
      <c r="M54">
        <v>-46.003525895570498</v>
      </c>
      <c r="N54">
        <v>0.85129172045340495</v>
      </c>
      <c r="P54">
        <v>0</v>
      </c>
      <c r="Q54">
        <v>0</v>
      </c>
      <c r="R54">
        <v>0</v>
      </c>
      <c r="S54">
        <v>0</v>
      </c>
    </row>
    <row r="55" spans="1:19" x14ac:dyDescent="0.25">
      <c r="A55" t="s">
        <v>53</v>
      </c>
      <c r="B55">
        <v>54</v>
      </c>
      <c r="C55" t="s">
        <v>170</v>
      </c>
      <c r="D55" t="s">
        <v>171</v>
      </c>
      <c r="E55" t="s">
        <v>172</v>
      </c>
      <c r="F55" t="s">
        <v>173</v>
      </c>
      <c r="G55" t="s">
        <v>80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25">
      <c r="A56" t="s">
        <v>53</v>
      </c>
      <c r="B56">
        <v>55</v>
      </c>
      <c r="C56" t="s">
        <v>174</v>
      </c>
      <c r="D56" t="s">
        <v>175</v>
      </c>
      <c r="E56" t="s">
        <v>172</v>
      </c>
      <c r="F56" t="s">
        <v>173</v>
      </c>
      <c r="G56" t="s">
        <v>84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25">
      <c r="A57" t="s">
        <v>53</v>
      </c>
      <c r="B57">
        <v>56</v>
      </c>
      <c r="C57" t="s">
        <v>176</v>
      </c>
      <c r="D57" t="s">
        <v>177</v>
      </c>
      <c r="E57" t="s">
        <v>172</v>
      </c>
      <c r="F57" t="s">
        <v>178</v>
      </c>
      <c r="G57" t="s">
        <v>80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25">
      <c r="A58" t="s">
        <v>53</v>
      </c>
      <c r="B58">
        <v>57</v>
      </c>
      <c r="C58" t="s">
        <v>179</v>
      </c>
      <c r="D58" t="s">
        <v>180</v>
      </c>
      <c r="E58" t="s">
        <v>172</v>
      </c>
      <c r="F58" t="s">
        <v>178</v>
      </c>
      <c r="G58" t="s">
        <v>80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25">
      <c r="A59" t="s">
        <v>53</v>
      </c>
      <c r="B59">
        <v>58</v>
      </c>
      <c r="C59" t="s">
        <v>181</v>
      </c>
      <c r="D59" t="s">
        <v>182</v>
      </c>
      <c r="E59" t="s">
        <v>172</v>
      </c>
      <c r="F59" t="s">
        <v>183</v>
      </c>
      <c r="G59" t="s">
        <v>80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25">
      <c r="A60" t="s">
        <v>53</v>
      </c>
      <c r="B60">
        <v>59</v>
      </c>
      <c r="C60" t="s">
        <v>184</v>
      </c>
      <c r="D60" t="s">
        <v>185</v>
      </c>
      <c r="E60" t="s">
        <v>172</v>
      </c>
      <c r="F60" t="s">
        <v>183</v>
      </c>
      <c r="G60" t="s">
        <v>59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25">
      <c r="A61" t="s">
        <v>53</v>
      </c>
      <c r="B61">
        <v>60</v>
      </c>
      <c r="C61" t="s">
        <v>186</v>
      </c>
      <c r="D61" t="s">
        <v>187</v>
      </c>
      <c r="E61" t="s">
        <v>172</v>
      </c>
      <c r="F61" t="s">
        <v>183</v>
      </c>
      <c r="G61" t="s">
        <v>59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25">
      <c r="A62" t="s">
        <v>53</v>
      </c>
      <c r="B62">
        <v>61</v>
      </c>
      <c r="C62" t="s">
        <v>188</v>
      </c>
      <c r="D62" t="s">
        <v>189</v>
      </c>
      <c r="E62" t="s">
        <v>172</v>
      </c>
      <c r="F62" t="s">
        <v>183</v>
      </c>
      <c r="G62" t="s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25">
      <c r="A63" t="s">
        <v>53</v>
      </c>
      <c r="B63">
        <v>62</v>
      </c>
      <c r="C63" t="s">
        <v>190</v>
      </c>
      <c r="D63" t="s">
        <v>191</v>
      </c>
      <c r="E63" t="s">
        <v>172</v>
      </c>
      <c r="F63" t="s">
        <v>183</v>
      </c>
      <c r="G63" t="s">
        <v>59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25">
      <c r="A64" t="s">
        <v>53</v>
      </c>
      <c r="B64">
        <v>63</v>
      </c>
      <c r="C64" t="s">
        <v>192</v>
      </c>
      <c r="D64" t="s">
        <v>193</v>
      </c>
      <c r="E64" t="s">
        <v>172</v>
      </c>
      <c r="F64" t="s">
        <v>183</v>
      </c>
      <c r="G64" t="s">
        <v>56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25">
      <c r="A65" t="s">
        <v>53</v>
      </c>
      <c r="B65">
        <v>64</v>
      </c>
      <c r="C65" t="s">
        <v>194</v>
      </c>
      <c r="D65" t="s">
        <v>195</v>
      </c>
      <c r="E65" t="s">
        <v>172</v>
      </c>
      <c r="F65" t="s">
        <v>196</v>
      </c>
      <c r="G65" t="s">
        <v>59</v>
      </c>
      <c r="H65">
        <v>9880</v>
      </c>
      <c r="I65">
        <v>8.4141666666666595</v>
      </c>
      <c r="J65">
        <v>1174.21016143408</v>
      </c>
      <c r="K65">
        <v>1244.000016</v>
      </c>
      <c r="L65">
        <v>7.9421220843456899</v>
      </c>
      <c r="M65">
        <v>-0.47204458232096902</v>
      </c>
      <c r="N65">
        <v>0.943898831456357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25">
      <c r="A66" t="s">
        <v>53</v>
      </c>
      <c r="B66">
        <v>65</v>
      </c>
      <c r="C66" t="s">
        <v>197</v>
      </c>
      <c r="D66" t="s">
        <v>198</v>
      </c>
      <c r="E66" t="s">
        <v>172</v>
      </c>
      <c r="F66" t="s">
        <v>196</v>
      </c>
      <c r="G66" t="s">
        <v>59</v>
      </c>
      <c r="H66">
        <v>59097</v>
      </c>
      <c r="I66">
        <v>331.85805555555498</v>
      </c>
      <c r="J66">
        <v>178.07914863198701</v>
      </c>
      <c r="K66">
        <v>288</v>
      </c>
      <c r="L66">
        <v>205.197916666666</v>
      </c>
      <c r="M66">
        <v>-126.660138888888</v>
      </c>
      <c r="N66">
        <v>0.61833037719439898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25">
      <c r="A67" t="s">
        <v>53</v>
      </c>
      <c r="B67">
        <v>66</v>
      </c>
      <c r="C67" t="s">
        <v>199</v>
      </c>
      <c r="D67" t="s">
        <v>200</v>
      </c>
      <c r="E67" t="s">
        <v>172</v>
      </c>
      <c r="F67" t="s">
        <v>196</v>
      </c>
      <c r="G67" t="s">
        <v>59</v>
      </c>
      <c r="H67">
        <v>993</v>
      </c>
      <c r="I67">
        <v>8.8275000000000006</v>
      </c>
      <c r="J67">
        <v>112.489379779099</v>
      </c>
      <c r="K67">
        <v>117</v>
      </c>
      <c r="L67">
        <v>8.4871794871794801</v>
      </c>
      <c r="M67">
        <v>-0.34032051282051301</v>
      </c>
      <c r="N67">
        <v>0.96144769041965294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25">
      <c r="A68" t="s">
        <v>53</v>
      </c>
      <c r="B68">
        <v>67</v>
      </c>
      <c r="C68" t="s">
        <v>201</v>
      </c>
      <c r="D68" t="s">
        <v>202</v>
      </c>
      <c r="E68" t="s">
        <v>172</v>
      </c>
      <c r="F68" t="s">
        <v>196</v>
      </c>
      <c r="G68" t="s">
        <v>59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25">
      <c r="A69" t="s">
        <v>53</v>
      </c>
      <c r="B69">
        <v>68</v>
      </c>
      <c r="C69" t="s">
        <v>203</v>
      </c>
      <c r="D69" t="s">
        <v>204</v>
      </c>
      <c r="E69" t="s">
        <v>172</v>
      </c>
      <c r="F69" t="s">
        <v>196</v>
      </c>
      <c r="G69" t="s">
        <v>59</v>
      </c>
      <c r="H69">
        <v>69970</v>
      </c>
      <c r="I69">
        <v>349.099722222222</v>
      </c>
      <c r="J69">
        <v>200.42983579190599</v>
      </c>
      <c r="K69">
        <v>315.71032004200998</v>
      </c>
      <c r="L69">
        <v>221.62721823819101</v>
      </c>
      <c r="M69">
        <v>-127.47250398403</v>
      </c>
      <c r="N69">
        <v>0.63485360809629399</v>
      </c>
      <c r="P69">
        <v>0</v>
      </c>
      <c r="Q69">
        <v>0</v>
      </c>
      <c r="R69">
        <v>0</v>
      </c>
      <c r="S69">
        <v>0</v>
      </c>
    </row>
    <row r="70" spans="1:19" x14ac:dyDescent="0.25">
      <c r="A70" t="s">
        <v>53</v>
      </c>
      <c r="B70">
        <v>69</v>
      </c>
      <c r="C70" t="s">
        <v>205</v>
      </c>
      <c r="D70" t="s">
        <v>206</v>
      </c>
      <c r="E70" t="s">
        <v>172</v>
      </c>
      <c r="F70" t="s">
        <v>206</v>
      </c>
      <c r="G70" t="s">
        <v>59</v>
      </c>
      <c r="H70">
        <v>71171</v>
      </c>
      <c r="I70">
        <v>30.316666666666599</v>
      </c>
      <c r="J70">
        <v>2347.5865860362801</v>
      </c>
      <c r="K70">
        <v>3465</v>
      </c>
      <c r="L70">
        <v>20.539971139971101</v>
      </c>
      <c r="M70">
        <v>-9.7766955266955193</v>
      </c>
      <c r="N70">
        <v>0.67751416624423699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25">
      <c r="A71" t="s">
        <v>53</v>
      </c>
      <c r="B71">
        <v>70</v>
      </c>
      <c r="C71" t="s">
        <v>207</v>
      </c>
      <c r="D71" t="s">
        <v>208</v>
      </c>
      <c r="E71" t="s">
        <v>172</v>
      </c>
      <c r="F71" t="s">
        <v>208</v>
      </c>
      <c r="G71" t="s">
        <v>56</v>
      </c>
      <c r="H71">
        <v>71171</v>
      </c>
      <c r="I71">
        <v>72.018055555555506</v>
      </c>
      <c r="J71">
        <v>988.23828900931403</v>
      </c>
      <c r="K71">
        <v>1524.999996</v>
      </c>
      <c r="L71">
        <v>46.669508319133101</v>
      </c>
      <c r="M71">
        <v>-25.348547236422402</v>
      </c>
      <c r="N71">
        <v>0.64802510924682899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25">
      <c r="A72" t="s">
        <v>53</v>
      </c>
      <c r="B72">
        <v>71</v>
      </c>
      <c r="C72" t="s">
        <v>209</v>
      </c>
      <c r="D72" t="s">
        <v>210</v>
      </c>
      <c r="E72" t="s">
        <v>172</v>
      </c>
      <c r="F72" t="s">
        <v>210</v>
      </c>
      <c r="G72" t="s">
        <v>56</v>
      </c>
      <c r="H72">
        <v>71171</v>
      </c>
      <c r="I72">
        <v>32.727222222222203</v>
      </c>
      <c r="J72">
        <v>2174.6728004209799</v>
      </c>
      <c r="K72">
        <v>3499.999992</v>
      </c>
      <c r="L72">
        <v>20.334571475050399</v>
      </c>
      <c r="M72">
        <v>-12.3926507471717</v>
      </c>
      <c r="N72">
        <v>0.62133508725476205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25">
      <c r="A73" t="s">
        <v>53</v>
      </c>
      <c r="B73">
        <v>72</v>
      </c>
      <c r="C73" t="s">
        <v>211</v>
      </c>
      <c r="D73" t="s">
        <v>212</v>
      </c>
      <c r="E73" t="s">
        <v>172</v>
      </c>
      <c r="F73" t="s">
        <v>213</v>
      </c>
      <c r="G73" t="s">
        <v>56</v>
      </c>
      <c r="H73">
        <v>71171</v>
      </c>
      <c r="I73">
        <v>1.9069444444444399</v>
      </c>
      <c r="J73">
        <v>37322.0101966496</v>
      </c>
      <c r="K73">
        <v>5000.0000040000004</v>
      </c>
      <c r="L73">
        <v>14.2341999886126</v>
      </c>
      <c r="M73">
        <v>12.3272555441681</v>
      </c>
      <c r="N73">
        <v>7.46440203335841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25">
      <c r="A74" t="s">
        <v>53</v>
      </c>
      <c r="B74">
        <v>73</v>
      </c>
      <c r="C74" t="s">
        <v>214</v>
      </c>
      <c r="D74" t="s">
        <v>215</v>
      </c>
      <c r="E74" t="s">
        <v>172</v>
      </c>
      <c r="F74" t="s">
        <v>169</v>
      </c>
      <c r="G74" t="s">
        <v>56</v>
      </c>
      <c r="H74">
        <v>71171</v>
      </c>
      <c r="I74">
        <v>486.06861111111101</v>
      </c>
      <c r="J74">
        <v>146.42171572714599</v>
      </c>
      <c r="K74">
        <v>220.06739769938099</v>
      </c>
      <c r="L74">
        <v>323.405469160959</v>
      </c>
      <c r="M74">
        <v>-162.66314195015099</v>
      </c>
      <c r="N74">
        <v>0.66534942139481501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53</v>
      </c>
      <c r="B75">
        <v>74</v>
      </c>
      <c r="C75" t="s">
        <v>216</v>
      </c>
      <c r="D75" t="s">
        <v>217</v>
      </c>
      <c r="E75" t="s">
        <v>218</v>
      </c>
      <c r="F75" t="s">
        <v>9</v>
      </c>
      <c r="G75" t="s">
        <v>59</v>
      </c>
      <c r="H75">
        <v>524</v>
      </c>
      <c r="I75">
        <v>0.206666666666666</v>
      </c>
      <c r="J75">
        <v>2535.4838709677401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25">
      <c r="A76" t="s">
        <v>53</v>
      </c>
      <c r="B76">
        <v>75</v>
      </c>
      <c r="C76" t="s">
        <v>219</v>
      </c>
      <c r="D76" t="s">
        <v>220</v>
      </c>
      <c r="E76" t="s">
        <v>218</v>
      </c>
      <c r="F76" t="s">
        <v>9</v>
      </c>
      <c r="G76" t="s">
        <v>59</v>
      </c>
      <c r="H76">
        <v>492</v>
      </c>
      <c r="I76">
        <v>1.7488888888888801</v>
      </c>
      <c r="J76">
        <v>281.32147395171501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25">
      <c r="A77" t="s">
        <v>53</v>
      </c>
      <c r="B77">
        <v>76</v>
      </c>
      <c r="C77" t="s">
        <v>221</v>
      </c>
      <c r="D77" t="s">
        <v>222</v>
      </c>
      <c r="E77" t="s">
        <v>218</v>
      </c>
      <c r="F77" t="s">
        <v>9</v>
      </c>
      <c r="G77" t="s">
        <v>59</v>
      </c>
      <c r="H77">
        <v>36</v>
      </c>
      <c r="I77">
        <v>0.211111111111111</v>
      </c>
      <c r="J77">
        <v>170.52631578947299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25">
      <c r="A78" t="s">
        <v>53</v>
      </c>
      <c r="B78">
        <v>77</v>
      </c>
      <c r="C78" t="s">
        <v>223</v>
      </c>
      <c r="D78" t="s">
        <v>224</v>
      </c>
      <c r="E78" t="s">
        <v>218</v>
      </c>
      <c r="F78" t="s">
        <v>9</v>
      </c>
      <c r="G78" t="s">
        <v>59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25">
      <c r="A79" t="s">
        <v>53</v>
      </c>
      <c r="B79">
        <v>78</v>
      </c>
      <c r="C79" t="s">
        <v>225</v>
      </c>
      <c r="D79" t="s">
        <v>226</v>
      </c>
      <c r="E79" t="s">
        <v>218</v>
      </c>
      <c r="F79" t="s">
        <v>9</v>
      </c>
      <c r="G79" t="s">
        <v>59</v>
      </c>
      <c r="H79">
        <v>1052</v>
      </c>
      <c r="I79">
        <v>2.1666666666666599</v>
      </c>
      <c r="J79">
        <v>485.53846153846098</v>
      </c>
      <c r="K79">
        <v>0</v>
      </c>
      <c r="L79">
        <v>0</v>
      </c>
      <c r="M79">
        <v>-2.1666666666666599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25">
      <c r="A80" t="s">
        <v>53</v>
      </c>
      <c r="B80">
        <v>79</v>
      </c>
      <c r="C80" t="s">
        <v>227</v>
      </c>
      <c r="D80" t="s">
        <v>228</v>
      </c>
      <c r="E80" t="s">
        <v>218</v>
      </c>
      <c r="F80" t="s">
        <v>9</v>
      </c>
      <c r="G80" t="s">
        <v>56</v>
      </c>
      <c r="H80">
        <v>71022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25">
      <c r="A81" t="s">
        <v>53</v>
      </c>
      <c r="B81">
        <v>80</v>
      </c>
      <c r="C81" t="s">
        <v>229</v>
      </c>
      <c r="D81" t="s">
        <v>230</v>
      </c>
      <c r="E81" t="s">
        <v>218</v>
      </c>
      <c r="F81" t="s">
        <v>9</v>
      </c>
      <c r="G81" t="s">
        <v>56</v>
      </c>
      <c r="H81">
        <v>1052</v>
      </c>
      <c r="I81">
        <v>2.1666666666666599</v>
      </c>
      <c r="J81">
        <v>485.53846153846098</v>
      </c>
      <c r="K81">
        <v>0</v>
      </c>
      <c r="L81">
        <v>0</v>
      </c>
      <c r="M81">
        <v>-2.1666666666666599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25">
      <c r="A82" t="s">
        <v>53</v>
      </c>
      <c r="B82">
        <v>81</v>
      </c>
      <c r="C82" t="s">
        <v>231</v>
      </c>
      <c r="D82" t="s">
        <v>232</v>
      </c>
      <c r="E82" t="s">
        <v>218</v>
      </c>
      <c r="F82" t="s">
        <v>233</v>
      </c>
      <c r="G82" t="s">
        <v>59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25">
      <c r="A83" t="s">
        <v>53</v>
      </c>
      <c r="B83">
        <v>82</v>
      </c>
      <c r="C83" t="s">
        <v>234</v>
      </c>
      <c r="D83" t="s">
        <v>235</v>
      </c>
      <c r="E83" t="s">
        <v>218</v>
      </c>
      <c r="F83" t="s">
        <v>233</v>
      </c>
      <c r="G83" t="s">
        <v>59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25">
      <c r="A84" t="s">
        <v>53</v>
      </c>
      <c r="B84">
        <v>83</v>
      </c>
      <c r="C84" t="s">
        <v>236</v>
      </c>
      <c r="D84" t="s">
        <v>237</v>
      </c>
      <c r="E84" t="s">
        <v>218</v>
      </c>
      <c r="F84" t="s">
        <v>233</v>
      </c>
      <c r="G84" t="s">
        <v>59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25">
      <c r="A85" t="s">
        <v>53</v>
      </c>
      <c r="B85">
        <v>84</v>
      </c>
      <c r="C85" t="s">
        <v>238</v>
      </c>
      <c r="D85" t="s">
        <v>239</v>
      </c>
      <c r="E85" t="s">
        <v>218</v>
      </c>
      <c r="F85" t="s">
        <v>233</v>
      </c>
      <c r="G85" t="s">
        <v>59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25">
      <c r="A86" t="s">
        <v>53</v>
      </c>
      <c r="B86">
        <v>85</v>
      </c>
      <c r="C86" t="s">
        <v>240</v>
      </c>
      <c r="D86" t="s">
        <v>241</v>
      </c>
      <c r="E86" t="s">
        <v>218</v>
      </c>
      <c r="F86" t="s">
        <v>233</v>
      </c>
      <c r="G86" t="s">
        <v>59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25">
      <c r="A87" t="s">
        <v>53</v>
      </c>
      <c r="B87">
        <v>86</v>
      </c>
      <c r="C87" t="s">
        <v>242</v>
      </c>
      <c r="D87" t="s">
        <v>243</v>
      </c>
      <c r="E87" t="s">
        <v>218</v>
      </c>
      <c r="F87" t="s">
        <v>233</v>
      </c>
      <c r="G87" t="s">
        <v>59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25">
      <c r="A88" t="s">
        <v>53</v>
      </c>
      <c r="B88">
        <v>87</v>
      </c>
      <c r="C88" t="s">
        <v>244</v>
      </c>
      <c r="D88" t="s">
        <v>245</v>
      </c>
      <c r="E88" t="s">
        <v>218</v>
      </c>
      <c r="F88" t="s">
        <v>233</v>
      </c>
      <c r="G88" t="s">
        <v>59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25">
      <c r="A89" t="s">
        <v>53</v>
      </c>
      <c r="B89">
        <v>88</v>
      </c>
      <c r="C89" t="s">
        <v>246</v>
      </c>
      <c r="D89" t="s">
        <v>247</v>
      </c>
      <c r="E89" t="s">
        <v>218</v>
      </c>
      <c r="F89" t="s">
        <v>233</v>
      </c>
      <c r="G89" t="s">
        <v>59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25">
      <c r="A90" t="s">
        <v>53</v>
      </c>
      <c r="B90">
        <v>89</v>
      </c>
      <c r="C90" t="s">
        <v>248</v>
      </c>
      <c r="D90" t="s">
        <v>249</v>
      </c>
      <c r="E90" t="s">
        <v>218</v>
      </c>
      <c r="F90" t="s">
        <v>233</v>
      </c>
      <c r="G90" t="s">
        <v>59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25">
      <c r="A91" t="s">
        <v>53</v>
      </c>
      <c r="B91">
        <v>90</v>
      </c>
      <c r="C91" t="s">
        <v>250</v>
      </c>
      <c r="D91" t="s">
        <v>251</v>
      </c>
      <c r="E91" t="s">
        <v>218</v>
      </c>
      <c r="F91" t="s">
        <v>233</v>
      </c>
      <c r="G91" t="s">
        <v>59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25">
      <c r="A92" t="s">
        <v>53</v>
      </c>
      <c r="B92">
        <v>91</v>
      </c>
      <c r="C92" t="s">
        <v>252</v>
      </c>
      <c r="D92" t="s">
        <v>253</v>
      </c>
      <c r="E92" t="s">
        <v>218</v>
      </c>
      <c r="F92" t="s">
        <v>233</v>
      </c>
      <c r="G92" t="s">
        <v>56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25">
      <c r="A93" t="s">
        <v>53</v>
      </c>
      <c r="B93">
        <v>92</v>
      </c>
      <c r="C93" t="s">
        <v>254</v>
      </c>
      <c r="D93" t="s">
        <v>255</v>
      </c>
      <c r="E93" t="s">
        <v>218</v>
      </c>
      <c r="F93" t="s">
        <v>233</v>
      </c>
      <c r="G93" t="s">
        <v>59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25">
      <c r="A94" t="s">
        <v>53</v>
      </c>
      <c r="B94">
        <v>93</v>
      </c>
      <c r="C94" t="s">
        <v>256</v>
      </c>
      <c r="D94" t="s">
        <v>257</v>
      </c>
      <c r="E94" t="s">
        <v>218</v>
      </c>
      <c r="F94" t="s">
        <v>258</v>
      </c>
      <c r="G94" t="s">
        <v>59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25">
      <c r="A95" t="s">
        <v>53</v>
      </c>
      <c r="B95">
        <v>94</v>
      </c>
      <c r="C95" t="s">
        <v>259</v>
      </c>
      <c r="D95" t="s">
        <v>260</v>
      </c>
      <c r="E95" t="s">
        <v>218</v>
      </c>
      <c r="F95" t="s">
        <v>258</v>
      </c>
      <c r="G95" t="s">
        <v>59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25">
      <c r="A96" t="s">
        <v>53</v>
      </c>
      <c r="B96">
        <v>95</v>
      </c>
      <c r="C96" t="s">
        <v>261</v>
      </c>
      <c r="D96" t="s">
        <v>262</v>
      </c>
      <c r="E96" t="s">
        <v>218</v>
      </c>
      <c r="F96" t="s">
        <v>258</v>
      </c>
      <c r="G96" t="s">
        <v>59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25">
      <c r="A97" t="s">
        <v>53</v>
      </c>
      <c r="B97">
        <v>96</v>
      </c>
      <c r="C97" t="s">
        <v>263</v>
      </c>
      <c r="D97" t="s">
        <v>264</v>
      </c>
      <c r="E97" t="s">
        <v>218</v>
      </c>
      <c r="F97" t="s">
        <v>258</v>
      </c>
      <c r="G97" t="s">
        <v>59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25">
      <c r="A98" t="s">
        <v>53</v>
      </c>
      <c r="B98">
        <v>97</v>
      </c>
      <c r="C98" t="s">
        <v>265</v>
      </c>
      <c r="D98" t="s">
        <v>266</v>
      </c>
      <c r="E98" t="s">
        <v>218</v>
      </c>
      <c r="F98" t="s">
        <v>258</v>
      </c>
      <c r="G98" t="s">
        <v>59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25">
      <c r="A99" t="s">
        <v>53</v>
      </c>
      <c r="B99">
        <v>98</v>
      </c>
      <c r="C99" t="s">
        <v>267</v>
      </c>
      <c r="D99" t="s">
        <v>268</v>
      </c>
      <c r="E99" t="s">
        <v>218</v>
      </c>
      <c r="F99" t="s">
        <v>258</v>
      </c>
      <c r="G99" t="s">
        <v>269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25">
      <c r="A100" t="s">
        <v>53</v>
      </c>
      <c r="B100">
        <v>99</v>
      </c>
      <c r="C100" t="s">
        <v>270</v>
      </c>
      <c r="D100" t="s">
        <v>271</v>
      </c>
      <c r="E100" t="s">
        <v>218</v>
      </c>
      <c r="F100" t="s">
        <v>258</v>
      </c>
      <c r="G100" t="s">
        <v>59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25">
      <c r="A101" t="s">
        <v>53</v>
      </c>
      <c r="B101">
        <v>100</v>
      </c>
      <c r="C101" t="s">
        <v>272</v>
      </c>
      <c r="D101" t="s">
        <v>273</v>
      </c>
      <c r="E101" t="s">
        <v>218</v>
      </c>
      <c r="F101" t="s">
        <v>258</v>
      </c>
      <c r="G101" t="s">
        <v>59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25">
      <c r="A102" t="s">
        <v>53</v>
      </c>
      <c r="B102">
        <v>101</v>
      </c>
      <c r="C102" t="s">
        <v>274</v>
      </c>
      <c r="D102" t="s">
        <v>275</v>
      </c>
      <c r="E102" t="s">
        <v>218</v>
      </c>
      <c r="F102" t="s">
        <v>258</v>
      </c>
      <c r="G102" t="s">
        <v>59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25">
      <c r="A103" t="s">
        <v>53</v>
      </c>
      <c r="B103">
        <v>102</v>
      </c>
      <c r="C103" t="s">
        <v>276</v>
      </c>
      <c r="D103" t="s">
        <v>277</v>
      </c>
      <c r="E103" t="s">
        <v>218</v>
      </c>
      <c r="F103" t="s">
        <v>258</v>
      </c>
      <c r="G103" t="s">
        <v>59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25">
      <c r="A104" t="s">
        <v>53</v>
      </c>
      <c r="B104">
        <v>103</v>
      </c>
      <c r="C104" t="s">
        <v>278</v>
      </c>
      <c r="D104" t="s">
        <v>279</v>
      </c>
      <c r="E104" t="s">
        <v>218</v>
      </c>
      <c r="F104" t="s">
        <v>258</v>
      </c>
      <c r="G104" t="s">
        <v>59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25">
      <c r="A105" t="s">
        <v>53</v>
      </c>
      <c r="B105">
        <v>104</v>
      </c>
      <c r="C105" t="s">
        <v>280</v>
      </c>
      <c r="D105" t="s">
        <v>281</v>
      </c>
      <c r="E105" t="s">
        <v>218</v>
      </c>
      <c r="F105" t="s">
        <v>258</v>
      </c>
      <c r="G105" t="s">
        <v>59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25">
      <c r="A106" t="s">
        <v>53</v>
      </c>
      <c r="B106">
        <v>105</v>
      </c>
      <c r="C106" t="s">
        <v>282</v>
      </c>
      <c r="D106" t="s">
        <v>283</v>
      </c>
      <c r="E106" t="s">
        <v>218</v>
      </c>
      <c r="F106" t="s">
        <v>258</v>
      </c>
      <c r="G106" t="s">
        <v>59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25">
      <c r="A107" t="s">
        <v>53</v>
      </c>
      <c r="B107">
        <v>106</v>
      </c>
      <c r="C107" t="s">
        <v>284</v>
      </c>
      <c r="D107" t="s">
        <v>285</v>
      </c>
      <c r="E107" t="s">
        <v>218</v>
      </c>
      <c r="F107" t="s">
        <v>258</v>
      </c>
      <c r="G107" t="s">
        <v>59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25">
      <c r="A108" t="s">
        <v>53</v>
      </c>
      <c r="B108">
        <v>107</v>
      </c>
      <c r="C108" t="s">
        <v>286</v>
      </c>
      <c r="D108" t="s">
        <v>287</v>
      </c>
      <c r="E108" t="s">
        <v>218</v>
      </c>
      <c r="F108" t="s">
        <v>258</v>
      </c>
      <c r="G108" t="s">
        <v>59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25">
      <c r="A109" t="s">
        <v>53</v>
      </c>
      <c r="B109">
        <v>108</v>
      </c>
      <c r="C109" t="s">
        <v>288</v>
      </c>
      <c r="D109" t="s">
        <v>289</v>
      </c>
      <c r="E109" t="s">
        <v>218</v>
      </c>
      <c r="F109" t="s">
        <v>258</v>
      </c>
      <c r="G109" t="s">
        <v>59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25">
      <c r="A110" t="s">
        <v>53</v>
      </c>
      <c r="B110">
        <v>109</v>
      </c>
      <c r="C110" t="s">
        <v>290</v>
      </c>
      <c r="D110" t="s">
        <v>291</v>
      </c>
      <c r="E110" t="s">
        <v>218</v>
      </c>
      <c r="F110" t="s">
        <v>258</v>
      </c>
      <c r="G110" t="s">
        <v>59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25">
      <c r="A111" t="s">
        <v>53</v>
      </c>
      <c r="B111">
        <v>110</v>
      </c>
      <c r="C111" t="s">
        <v>292</v>
      </c>
      <c r="D111" t="s">
        <v>293</v>
      </c>
      <c r="E111" t="s">
        <v>218</v>
      </c>
      <c r="F111" t="s">
        <v>258</v>
      </c>
      <c r="G111" t="s">
        <v>59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25">
      <c r="A112" t="s">
        <v>53</v>
      </c>
      <c r="B112">
        <v>111</v>
      </c>
      <c r="C112" t="s">
        <v>294</v>
      </c>
      <c r="D112" t="s">
        <v>295</v>
      </c>
      <c r="E112" t="s">
        <v>218</v>
      </c>
      <c r="F112" t="s">
        <v>258</v>
      </c>
      <c r="G112" t="s">
        <v>56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25">
      <c r="A113" t="s">
        <v>53</v>
      </c>
      <c r="B113">
        <v>112</v>
      </c>
      <c r="C113" t="s">
        <v>296</v>
      </c>
      <c r="D113" t="s">
        <v>297</v>
      </c>
      <c r="E113" t="s">
        <v>218</v>
      </c>
      <c r="F113" t="s">
        <v>298</v>
      </c>
      <c r="G113" t="s">
        <v>59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25">
      <c r="A114" t="s">
        <v>53</v>
      </c>
      <c r="B114">
        <v>113</v>
      </c>
      <c r="C114" t="s">
        <v>299</v>
      </c>
      <c r="D114" t="s">
        <v>300</v>
      </c>
      <c r="E114" t="s">
        <v>218</v>
      </c>
      <c r="F114" t="s">
        <v>298</v>
      </c>
      <c r="G114" t="s">
        <v>59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25">
      <c r="A115" t="s">
        <v>53</v>
      </c>
      <c r="B115">
        <v>114</v>
      </c>
      <c r="C115" t="s">
        <v>301</v>
      </c>
      <c r="D115" t="s">
        <v>302</v>
      </c>
      <c r="E115" t="s">
        <v>218</v>
      </c>
      <c r="F115" t="s">
        <v>298</v>
      </c>
      <c r="G115" t="s">
        <v>59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25">
      <c r="A116" t="s">
        <v>53</v>
      </c>
      <c r="B116">
        <v>115</v>
      </c>
      <c r="C116" t="s">
        <v>303</v>
      </c>
      <c r="D116" t="s">
        <v>304</v>
      </c>
      <c r="E116" t="s">
        <v>218</v>
      </c>
      <c r="F116" t="s">
        <v>298</v>
      </c>
      <c r="G116" t="s">
        <v>59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25">
      <c r="A117" t="s">
        <v>53</v>
      </c>
      <c r="B117">
        <v>116</v>
      </c>
      <c r="C117" t="s">
        <v>305</v>
      </c>
      <c r="D117" t="s">
        <v>306</v>
      </c>
      <c r="E117" t="s">
        <v>218</v>
      </c>
      <c r="F117" t="s">
        <v>298</v>
      </c>
      <c r="G117" t="s">
        <v>59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25">
      <c r="A118" t="s">
        <v>53</v>
      </c>
      <c r="B118">
        <v>117</v>
      </c>
      <c r="C118" t="s">
        <v>307</v>
      </c>
      <c r="D118" t="s">
        <v>308</v>
      </c>
      <c r="E118" t="s">
        <v>218</v>
      </c>
      <c r="F118" t="s">
        <v>308</v>
      </c>
      <c r="G118" t="s">
        <v>59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25">
      <c r="A119" t="s">
        <v>53</v>
      </c>
      <c r="B119">
        <v>118</v>
      </c>
      <c r="C119" t="s">
        <v>309</v>
      </c>
      <c r="D119" t="s">
        <v>310</v>
      </c>
      <c r="E119" t="s">
        <v>218</v>
      </c>
      <c r="F119" t="s">
        <v>311</v>
      </c>
      <c r="G119" t="s">
        <v>59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25">
      <c r="A120" t="s">
        <v>53</v>
      </c>
      <c r="B120">
        <v>119</v>
      </c>
      <c r="C120" t="s">
        <v>312</v>
      </c>
      <c r="D120" t="s">
        <v>313</v>
      </c>
      <c r="E120" t="s">
        <v>218</v>
      </c>
      <c r="F120" t="s">
        <v>314</v>
      </c>
      <c r="G120" t="s">
        <v>59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25">
      <c r="A121" t="s">
        <v>53</v>
      </c>
      <c r="B121">
        <v>120</v>
      </c>
      <c r="C121" t="s">
        <v>315</v>
      </c>
      <c r="D121" t="s">
        <v>316</v>
      </c>
      <c r="E121" t="s">
        <v>218</v>
      </c>
      <c r="F121" t="s">
        <v>169</v>
      </c>
      <c r="G121" t="s">
        <v>59</v>
      </c>
      <c r="H121">
        <v>0</v>
      </c>
      <c r="I121">
        <v>2.1666666666666599</v>
      </c>
      <c r="J121">
        <v>0</v>
      </c>
      <c r="K121">
        <v>0</v>
      </c>
      <c r="L121">
        <v>0</v>
      </c>
      <c r="M121">
        <v>-2.1666666666666599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25">
      <c r="A122" t="s">
        <v>53</v>
      </c>
      <c r="B122">
        <v>121</v>
      </c>
      <c r="C122" t="s">
        <v>317</v>
      </c>
      <c r="D122" t="s">
        <v>318</v>
      </c>
      <c r="E122" t="s">
        <v>319</v>
      </c>
      <c r="F122" t="s">
        <v>320</v>
      </c>
      <c r="G122" t="s">
        <v>59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25">
      <c r="A123" t="s">
        <v>53</v>
      </c>
      <c r="B123">
        <v>122</v>
      </c>
      <c r="C123" t="s">
        <v>321</v>
      </c>
      <c r="D123" t="s">
        <v>322</v>
      </c>
      <c r="E123" t="s">
        <v>319</v>
      </c>
      <c r="F123" t="s">
        <v>320</v>
      </c>
      <c r="G123" t="s">
        <v>59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25">
      <c r="A124" t="s">
        <v>53</v>
      </c>
      <c r="B124">
        <v>123</v>
      </c>
      <c r="C124" t="s">
        <v>323</v>
      </c>
      <c r="D124" t="s">
        <v>324</v>
      </c>
      <c r="E124" t="s">
        <v>319</v>
      </c>
      <c r="F124" t="s">
        <v>320</v>
      </c>
      <c r="G124" t="s">
        <v>59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25">
      <c r="A125" t="s">
        <v>53</v>
      </c>
      <c r="B125">
        <v>124</v>
      </c>
      <c r="C125" t="s">
        <v>325</v>
      </c>
      <c r="D125" t="s">
        <v>326</v>
      </c>
      <c r="E125" t="s">
        <v>319</v>
      </c>
      <c r="F125" t="s">
        <v>320</v>
      </c>
      <c r="G125" t="s">
        <v>59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25">
      <c r="A126" t="s">
        <v>53</v>
      </c>
      <c r="B126">
        <v>125</v>
      </c>
      <c r="C126" t="s">
        <v>327</v>
      </c>
      <c r="D126" t="s">
        <v>328</v>
      </c>
      <c r="E126" t="s">
        <v>319</v>
      </c>
      <c r="F126" t="s">
        <v>320</v>
      </c>
      <c r="G126" t="s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25">
      <c r="A127" t="s">
        <v>53</v>
      </c>
      <c r="B127">
        <v>126</v>
      </c>
      <c r="C127" t="s">
        <v>329</v>
      </c>
      <c r="D127" t="s">
        <v>330</v>
      </c>
      <c r="E127" t="s">
        <v>319</v>
      </c>
      <c r="F127" t="s">
        <v>320</v>
      </c>
      <c r="G127" t="s">
        <v>59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25">
      <c r="A128" t="s">
        <v>53</v>
      </c>
      <c r="B128">
        <v>127</v>
      </c>
      <c r="C128" t="s">
        <v>331</v>
      </c>
      <c r="D128" t="s">
        <v>332</v>
      </c>
      <c r="E128" t="s">
        <v>319</v>
      </c>
      <c r="F128" t="s">
        <v>320</v>
      </c>
      <c r="G128" t="s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25">
      <c r="A129" t="s">
        <v>53</v>
      </c>
      <c r="B129">
        <v>128</v>
      </c>
      <c r="C129" t="s">
        <v>333</v>
      </c>
      <c r="D129" t="s">
        <v>334</v>
      </c>
      <c r="E129" t="s">
        <v>319</v>
      </c>
      <c r="F129" t="s">
        <v>320</v>
      </c>
      <c r="G129" t="s">
        <v>59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25">
      <c r="A130" t="s">
        <v>53</v>
      </c>
      <c r="B130">
        <v>129</v>
      </c>
      <c r="C130" t="s">
        <v>335</v>
      </c>
      <c r="D130" t="s">
        <v>336</v>
      </c>
      <c r="E130" t="s">
        <v>319</v>
      </c>
      <c r="F130" t="s">
        <v>320</v>
      </c>
      <c r="G130" t="s">
        <v>59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25">
      <c r="A131" t="s">
        <v>53</v>
      </c>
      <c r="B131">
        <v>130</v>
      </c>
      <c r="C131" t="s">
        <v>337</v>
      </c>
      <c r="D131" t="s">
        <v>338</v>
      </c>
      <c r="E131" t="s">
        <v>319</v>
      </c>
      <c r="F131" t="s">
        <v>320</v>
      </c>
      <c r="G131" t="s">
        <v>56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25">
      <c r="A132" t="s">
        <v>53</v>
      </c>
      <c r="B132">
        <v>131</v>
      </c>
      <c r="C132" t="s">
        <v>339</v>
      </c>
      <c r="D132" t="s">
        <v>340</v>
      </c>
      <c r="E132" t="s">
        <v>319</v>
      </c>
      <c r="F132" t="s">
        <v>320</v>
      </c>
      <c r="G132" t="s">
        <v>56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25">
      <c r="A133" t="s">
        <v>53</v>
      </c>
      <c r="B133">
        <v>132</v>
      </c>
      <c r="C133" t="s">
        <v>341</v>
      </c>
      <c r="D133" t="s">
        <v>342</v>
      </c>
      <c r="E133" t="s">
        <v>319</v>
      </c>
      <c r="F133" t="s">
        <v>320</v>
      </c>
      <c r="G133" t="s">
        <v>56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25">
      <c r="A134" t="s">
        <v>53</v>
      </c>
      <c r="B134">
        <v>133</v>
      </c>
      <c r="C134" t="s">
        <v>343</v>
      </c>
      <c r="D134" t="s">
        <v>344</v>
      </c>
      <c r="E134" t="s">
        <v>319</v>
      </c>
      <c r="F134" t="s">
        <v>345</v>
      </c>
      <c r="G134" t="s">
        <v>59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25">
      <c r="A135" t="s">
        <v>53</v>
      </c>
      <c r="B135">
        <v>134</v>
      </c>
      <c r="C135" t="s">
        <v>346</v>
      </c>
      <c r="D135" t="s">
        <v>347</v>
      </c>
      <c r="E135" t="s">
        <v>319</v>
      </c>
      <c r="F135" t="s">
        <v>345</v>
      </c>
      <c r="G135" t="s">
        <v>59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25">
      <c r="A136" t="s">
        <v>53</v>
      </c>
      <c r="B136">
        <v>135</v>
      </c>
      <c r="C136" t="s">
        <v>348</v>
      </c>
      <c r="D136" t="s">
        <v>349</v>
      </c>
      <c r="E136" t="s">
        <v>319</v>
      </c>
      <c r="F136" t="s">
        <v>345</v>
      </c>
      <c r="G136" t="s">
        <v>59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25">
      <c r="A137" t="s">
        <v>53</v>
      </c>
      <c r="B137">
        <v>136</v>
      </c>
      <c r="C137" t="s">
        <v>350</v>
      </c>
      <c r="D137" t="s">
        <v>351</v>
      </c>
      <c r="E137" t="s">
        <v>319</v>
      </c>
      <c r="F137" t="s">
        <v>345</v>
      </c>
      <c r="G137" t="s">
        <v>59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25">
      <c r="A138" t="s">
        <v>53</v>
      </c>
      <c r="B138">
        <v>137</v>
      </c>
      <c r="C138" t="s">
        <v>352</v>
      </c>
      <c r="D138" t="s">
        <v>353</v>
      </c>
      <c r="E138" t="s">
        <v>319</v>
      </c>
      <c r="F138" t="s">
        <v>345</v>
      </c>
      <c r="G138" t="s">
        <v>59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25">
      <c r="A139" t="s">
        <v>53</v>
      </c>
      <c r="B139">
        <v>138</v>
      </c>
      <c r="C139" t="s">
        <v>354</v>
      </c>
      <c r="D139" t="s">
        <v>355</v>
      </c>
      <c r="E139" t="s">
        <v>319</v>
      </c>
      <c r="F139" t="s">
        <v>345</v>
      </c>
      <c r="G139" t="s">
        <v>59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25">
      <c r="A140" t="s">
        <v>53</v>
      </c>
      <c r="B140">
        <v>139</v>
      </c>
      <c r="C140" t="s">
        <v>356</v>
      </c>
      <c r="D140" t="s">
        <v>357</v>
      </c>
      <c r="E140" t="s">
        <v>319</v>
      </c>
      <c r="F140" t="s">
        <v>345</v>
      </c>
      <c r="G140" t="s">
        <v>59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25">
      <c r="A141" t="s">
        <v>53</v>
      </c>
      <c r="B141">
        <v>140</v>
      </c>
      <c r="C141" t="s">
        <v>358</v>
      </c>
      <c r="D141" t="s">
        <v>359</v>
      </c>
      <c r="E141" t="s">
        <v>319</v>
      </c>
      <c r="F141" t="s">
        <v>345</v>
      </c>
      <c r="G141" t="s">
        <v>59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25">
      <c r="A142" t="s">
        <v>53</v>
      </c>
      <c r="B142">
        <v>141</v>
      </c>
      <c r="C142" t="s">
        <v>360</v>
      </c>
      <c r="D142" t="s">
        <v>361</v>
      </c>
      <c r="E142" t="s">
        <v>319</v>
      </c>
      <c r="F142" t="s">
        <v>345</v>
      </c>
      <c r="G142" t="s">
        <v>59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25">
      <c r="A143" t="s">
        <v>53</v>
      </c>
      <c r="B143">
        <v>142</v>
      </c>
      <c r="C143" t="s">
        <v>362</v>
      </c>
      <c r="D143" t="s">
        <v>363</v>
      </c>
      <c r="E143" t="s">
        <v>319</v>
      </c>
      <c r="F143" t="s">
        <v>345</v>
      </c>
      <c r="G143" t="s">
        <v>59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25">
      <c r="A144" t="s">
        <v>53</v>
      </c>
      <c r="B144">
        <v>143</v>
      </c>
      <c r="C144" t="s">
        <v>364</v>
      </c>
      <c r="D144" t="s">
        <v>365</v>
      </c>
      <c r="E144" t="s">
        <v>319</v>
      </c>
      <c r="F144" t="s">
        <v>345</v>
      </c>
      <c r="G144" t="s">
        <v>56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25">
      <c r="A145" t="s">
        <v>53</v>
      </c>
      <c r="B145">
        <v>144</v>
      </c>
      <c r="C145" t="s">
        <v>366</v>
      </c>
      <c r="D145" t="s">
        <v>367</v>
      </c>
      <c r="E145" t="s">
        <v>319</v>
      </c>
      <c r="F145" t="s">
        <v>345</v>
      </c>
      <c r="G145" t="s">
        <v>59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25">
      <c r="A146" t="s">
        <v>53</v>
      </c>
      <c r="B146">
        <v>145</v>
      </c>
      <c r="C146" t="s">
        <v>368</v>
      </c>
      <c r="D146" t="s">
        <v>369</v>
      </c>
      <c r="E146" t="s">
        <v>319</v>
      </c>
      <c r="F146" t="s">
        <v>370</v>
      </c>
      <c r="G146" t="s">
        <v>59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25">
      <c r="A147" t="s">
        <v>53</v>
      </c>
      <c r="B147">
        <v>146</v>
      </c>
      <c r="C147" t="s">
        <v>371</v>
      </c>
      <c r="D147" t="s">
        <v>372</v>
      </c>
      <c r="E147" t="s">
        <v>319</v>
      </c>
      <c r="F147" t="s">
        <v>370</v>
      </c>
      <c r="G147" t="s">
        <v>59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25">
      <c r="A148" t="s">
        <v>53</v>
      </c>
      <c r="B148">
        <v>147</v>
      </c>
      <c r="C148" t="s">
        <v>373</v>
      </c>
      <c r="D148" t="s">
        <v>374</v>
      </c>
      <c r="E148" t="s">
        <v>319</v>
      </c>
      <c r="F148" t="s">
        <v>370</v>
      </c>
      <c r="G148" t="s">
        <v>56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25">
      <c r="A149" t="s">
        <v>53</v>
      </c>
      <c r="B149">
        <v>148</v>
      </c>
      <c r="C149" t="s">
        <v>375</v>
      </c>
      <c r="D149" t="s">
        <v>376</v>
      </c>
      <c r="E149" t="s">
        <v>319</v>
      </c>
      <c r="F149" t="s">
        <v>370</v>
      </c>
      <c r="G149" t="s">
        <v>56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25">
      <c r="A150" t="s">
        <v>53</v>
      </c>
      <c r="B150">
        <v>149</v>
      </c>
      <c r="C150" t="s">
        <v>377</v>
      </c>
      <c r="D150" t="s">
        <v>378</v>
      </c>
      <c r="E150" t="s">
        <v>319</v>
      </c>
      <c r="F150" t="s">
        <v>379</v>
      </c>
      <c r="G150" t="s">
        <v>59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25">
      <c r="A151" t="s">
        <v>53</v>
      </c>
      <c r="B151">
        <v>150</v>
      </c>
      <c r="C151" t="s">
        <v>380</v>
      </c>
      <c r="D151" t="s">
        <v>381</v>
      </c>
      <c r="E151" t="s">
        <v>319</v>
      </c>
      <c r="F151" t="s">
        <v>379</v>
      </c>
      <c r="G151" t="s">
        <v>56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25">
      <c r="A152" t="s">
        <v>53</v>
      </c>
      <c r="B152">
        <v>151</v>
      </c>
      <c r="C152" t="s">
        <v>382</v>
      </c>
      <c r="D152" t="s">
        <v>383</v>
      </c>
      <c r="E152" t="s">
        <v>319</v>
      </c>
      <c r="F152" t="s">
        <v>379</v>
      </c>
      <c r="G152" t="s">
        <v>56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25">
      <c r="A153" t="s">
        <v>53</v>
      </c>
      <c r="B153">
        <v>152</v>
      </c>
      <c r="C153" t="s">
        <v>384</v>
      </c>
      <c r="D153" t="s">
        <v>385</v>
      </c>
      <c r="E153" t="s">
        <v>319</v>
      </c>
      <c r="F153" t="s">
        <v>386</v>
      </c>
      <c r="G153" t="s">
        <v>59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25">
      <c r="A154" t="s">
        <v>53</v>
      </c>
      <c r="B154">
        <v>153</v>
      </c>
      <c r="C154" t="s">
        <v>387</v>
      </c>
      <c r="D154" t="s">
        <v>388</v>
      </c>
      <c r="E154" t="s">
        <v>319</v>
      </c>
      <c r="F154" t="s">
        <v>386</v>
      </c>
      <c r="G154" t="s">
        <v>56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25">
      <c r="A155" t="s">
        <v>53</v>
      </c>
      <c r="B155">
        <v>154</v>
      </c>
      <c r="C155" t="s">
        <v>389</v>
      </c>
      <c r="D155" t="s">
        <v>390</v>
      </c>
      <c r="E155" t="s">
        <v>319</v>
      </c>
      <c r="F155" t="s">
        <v>386</v>
      </c>
      <c r="G155" t="s">
        <v>56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25">
      <c r="A156" t="s">
        <v>53</v>
      </c>
      <c r="B156">
        <v>155</v>
      </c>
      <c r="C156" t="s">
        <v>391</v>
      </c>
      <c r="D156" t="s">
        <v>392</v>
      </c>
      <c r="E156" t="s">
        <v>319</v>
      </c>
      <c r="F156" t="s">
        <v>392</v>
      </c>
      <c r="G156" t="s">
        <v>59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25">
      <c r="A157" t="s">
        <v>53</v>
      </c>
      <c r="B157">
        <v>156</v>
      </c>
      <c r="C157" t="s">
        <v>393</v>
      </c>
      <c r="D157" t="s">
        <v>394</v>
      </c>
      <c r="E157" t="s">
        <v>319</v>
      </c>
      <c r="F157" t="s">
        <v>169</v>
      </c>
      <c r="G157" t="s">
        <v>56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25">
      <c r="A158" t="s">
        <v>53</v>
      </c>
      <c r="B158">
        <v>157</v>
      </c>
      <c r="C158" t="s">
        <v>395</v>
      </c>
      <c r="D158" t="s">
        <v>396</v>
      </c>
      <c r="E158" t="s">
        <v>397</v>
      </c>
      <c r="F158" t="s">
        <v>398</v>
      </c>
      <c r="G158" t="s">
        <v>59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25">
      <c r="A159" t="s">
        <v>53</v>
      </c>
      <c r="B159">
        <v>158</v>
      </c>
      <c r="C159" t="s">
        <v>399</v>
      </c>
      <c r="D159" t="s">
        <v>400</v>
      </c>
      <c r="E159" t="s">
        <v>397</v>
      </c>
      <c r="F159" t="s">
        <v>398</v>
      </c>
      <c r="G159" t="s">
        <v>59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25">
      <c r="A160" t="s">
        <v>53</v>
      </c>
      <c r="B160">
        <v>159</v>
      </c>
      <c r="C160" t="s">
        <v>401</v>
      </c>
      <c r="D160" t="s">
        <v>402</v>
      </c>
      <c r="E160" t="s">
        <v>397</v>
      </c>
      <c r="F160" t="s">
        <v>398</v>
      </c>
      <c r="G160" t="s">
        <v>59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25">
      <c r="A161" t="s">
        <v>53</v>
      </c>
      <c r="B161">
        <v>160</v>
      </c>
      <c r="C161" t="s">
        <v>403</v>
      </c>
      <c r="D161" t="s">
        <v>404</v>
      </c>
      <c r="E161" t="s">
        <v>405</v>
      </c>
      <c r="F161" t="s">
        <v>405</v>
      </c>
      <c r="G161" t="s">
        <v>56</v>
      </c>
      <c r="H161">
        <v>71171</v>
      </c>
      <c r="I161">
        <v>74.653333333333293</v>
      </c>
      <c r="J161">
        <v>953.35327737095895</v>
      </c>
      <c r="K161">
        <v>896.36020151133505</v>
      </c>
      <c r="L161">
        <v>79.400000000000006</v>
      </c>
      <c r="M161">
        <v>4.7466666666666599</v>
      </c>
      <c r="N161">
        <v>1.0635827826397499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25">
      <c r="A162" t="s">
        <v>53</v>
      </c>
      <c r="B162">
        <v>161</v>
      </c>
      <c r="C162" t="s">
        <v>406</v>
      </c>
      <c r="D162" t="s">
        <v>407</v>
      </c>
      <c r="E162" t="s">
        <v>405</v>
      </c>
      <c r="F162" t="s">
        <v>405</v>
      </c>
      <c r="G162" t="s">
        <v>56</v>
      </c>
      <c r="H162">
        <v>71171</v>
      </c>
      <c r="I162">
        <v>0</v>
      </c>
      <c r="J162">
        <v>0</v>
      </c>
      <c r="K162">
        <v>6714.2452830188604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25">
      <c r="A163" t="s">
        <v>53</v>
      </c>
      <c r="B163">
        <v>162</v>
      </c>
      <c r="C163" t="s">
        <v>408</v>
      </c>
      <c r="D163" t="s">
        <v>409</v>
      </c>
      <c r="E163" t="s">
        <v>405</v>
      </c>
      <c r="F163" t="s">
        <v>405</v>
      </c>
      <c r="G163" t="s">
        <v>56</v>
      </c>
      <c r="H163">
        <v>71171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25">
      <c r="A164" t="s">
        <v>53</v>
      </c>
      <c r="B164">
        <v>163</v>
      </c>
      <c r="C164" t="s">
        <v>410</v>
      </c>
      <c r="D164" t="s">
        <v>411</v>
      </c>
      <c r="E164" t="s">
        <v>405</v>
      </c>
      <c r="F164" t="s">
        <v>405</v>
      </c>
      <c r="G164" t="s">
        <v>56</v>
      </c>
      <c r="H164">
        <v>71171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25">
      <c r="A165" t="s">
        <v>53</v>
      </c>
      <c r="B165">
        <v>164</v>
      </c>
      <c r="C165" t="s">
        <v>412</v>
      </c>
      <c r="D165" t="s">
        <v>413</v>
      </c>
      <c r="E165" t="s">
        <v>405</v>
      </c>
      <c r="F165" t="s">
        <v>405</v>
      </c>
      <c r="G165" t="s">
        <v>56</v>
      </c>
      <c r="H165">
        <v>131235</v>
      </c>
      <c r="I165">
        <v>60.545555555555502</v>
      </c>
      <c r="J165">
        <v>2167.5414288598099</v>
      </c>
      <c r="K165">
        <v>2499.999984</v>
      </c>
      <c r="L165">
        <v>52.494000335961601</v>
      </c>
      <c r="M165">
        <v>-8.0515552195939506</v>
      </c>
      <c r="N165">
        <v>0.86701657709282998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25">
      <c r="A166" t="s">
        <v>53</v>
      </c>
      <c r="B166">
        <v>165</v>
      </c>
      <c r="C166" t="s">
        <v>414</v>
      </c>
      <c r="D166" t="s">
        <v>415</v>
      </c>
      <c r="E166" t="s">
        <v>405</v>
      </c>
      <c r="F166" t="s">
        <v>405</v>
      </c>
      <c r="G166" t="s">
        <v>56</v>
      </c>
      <c r="H166">
        <v>71171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25">
      <c r="A167" t="s">
        <v>53</v>
      </c>
      <c r="B167">
        <v>166</v>
      </c>
      <c r="C167" t="s">
        <v>416</v>
      </c>
      <c r="D167" t="s">
        <v>417</v>
      </c>
      <c r="E167" t="s">
        <v>418</v>
      </c>
      <c r="F167" t="s">
        <v>419</v>
      </c>
      <c r="G167" t="s">
        <v>269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25">
      <c r="A168" t="s">
        <v>53</v>
      </c>
      <c r="B168">
        <v>167</v>
      </c>
      <c r="C168" t="s">
        <v>420</v>
      </c>
      <c r="D168" t="s">
        <v>421</v>
      </c>
      <c r="E168" t="s">
        <v>418</v>
      </c>
      <c r="F168" t="s">
        <v>419</v>
      </c>
      <c r="G168" t="s">
        <v>269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25">
      <c r="A169" t="s">
        <v>53</v>
      </c>
      <c r="B169">
        <v>168</v>
      </c>
      <c r="C169" t="s">
        <v>422</v>
      </c>
      <c r="D169" t="s">
        <v>423</v>
      </c>
      <c r="E169" t="s">
        <v>418</v>
      </c>
      <c r="F169" t="s">
        <v>419</v>
      </c>
      <c r="G169" t="s">
        <v>269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25">
      <c r="A170" t="s">
        <v>424</v>
      </c>
      <c r="B170">
        <v>1</v>
      </c>
      <c r="C170" t="s">
        <v>425</v>
      </c>
      <c r="D170" t="s">
        <v>426</v>
      </c>
      <c r="E170" t="s">
        <v>427</v>
      </c>
      <c r="F170" t="s">
        <v>427</v>
      </c>
      <c r="G170" t="s">
        <v>59</v>
      </c>
      <c r="H170">
        <v>60064</v>
      </c>
      <c r="I170">
        <v>309.354166666666</v>
      </c>
      <c r="J170">
        <v>194.15933732911299</v>
      </c>
      <c r="K170">
        <v>228.07614906168899</v>
      </c>
      <c r="L170">
        <v>263.35064077109598</v>
      </c>
      <c r="M170">
        <v>-46.003525895570498</v>
      </c>
      <c r="N170">
        <v>0.85129172045340495</v>
      </c>
      <c r="P170">
        <v>0</v>
      </c>
      <c r="Q170">
        <v>0</v>
      </c>
      <c r="R170">
        <v>0</v>
      </c>
      <c r="S170">
        <v>0</v>
      </c>
    </row>
    <row r="171" spans="1:19" x14ac:dyDescent="0.25">
      <c r="A171" t="s">
        <v>424</v>
      </c>
      <c r="B171">
        <v>2</v>
      </c>
      <c r="C171" t="s">
        <v>428</v>
      </c>
      <c r="D171" t="s">
        <v>429</v>
      </c>
      <c r="E171" t="s">
        <v>427</v>
      </c>
      <c r="F171" t="s">
        <v>427</v>
      </c>
      <c r="G171" t="s">
        <v>59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25">
      <c r="A172" t="s">
        <v>424</v>
      </c>
      <c r="B172">
        <v>3</v>
      </c>
      <c r="C172" t="s">
        <v>430</v>
      </c>
      <c r="D172" t="s">
        <v>431</v>
      </c>
      <c r="E172" t="s">
        <v>427</v>
      </c>
      <c r="F172" t="s">
        <v>427</v>
      </c>
      <c r="G172" t="s">
        <v>59</v>
      </c>
      <c r="H172">
        <v>60064</v>
      </c>
      <c r="I172">
        <v>309.354166666666</v>
      </c>
      <c r="J172">
        <v>194.15933732911299</v>
      </c>
      <c r="K172">
        <v>228.07614906168899</v>
      </c>
      <c r="L172">
        <v>263.35064077109598</v>
      </c>
      <c r="M172">
        <v>-46.003525895570498</v>
      </c>
      <c r="N172">
        <v>0.85129172045340495</v>
      </c>
      <c r="P172">
        <v>0</v>
      </c>
      <c r="Q172">
        <v>0</v>
      </c>
      <c r="R172">
        <v>0</v>
      </c>
      <c r="S172">
        <v>0</v>
      </c>
    </row>
    <row r="173" spans="1:19" x14ac:dyDescent="0.25">
      <c r="A173" t="s">
        <v>424</v>
      </c>
      <c r="B173">
        <v>4</v>
      </c>
      <c r="C173" t="s">
        <v>432</v>
      </c>
      <c r="D173" t="s">
        <v>218</v>
      </c>
      <c r="E173" t="s">
        <v>427</v>
      </c>
      <c r="F173" t="s">
        <v>427</v>
      </c>
      <c r="G173" t="s">
        <v>59</v>
      </c>
      <c r="H173">
        <v>0</v>
      </c>
      <c r="I173">
        <v>2.1666666666666599</v>
      </c>
      <c r="J173">
        <v>0</v>
      </c>
      <c r="K173">
        <v>0</v>
      </c>
      <c r="L173">
        <v>0</v>
      </c>
      <c r="M173">
        <v>-2.1666666666666599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25">
      <c r="A174" t="s">
        <v>424</v>
      </c>
      <c r="B174">
        <v>5</v>
      </c>
      <c r="C174" t="s">
        <v>433</v>
      </c>
      <c r="D174" t="s">
        <v>434</v>
      </c>
      <c r="E174" t="s">
        <v>427</v>
      </c>
      <c r="F174" t="s">
        <v>427</v>
      </c>
      <c r="G174" t="s">
        <v>59</v>
      </c>
      <c r="H174">
        <v>71171</v>
      </c>
      <c r="I174">
        <v>486.06861111111101</v>
      </c>
      <c r="J174">
        <v>146.42171572714599</v>
      </c>
      <c r="K174">
        <v>220.06739769938099</v>
      </c>
      <c r="L174">
        <v>323.405469160959</v>
      </c>
      <c r="M174">
        <v>-162.66314195015099</v>
      </c>
      <c r="N174">
        <v>0.66534942139481501</v>
      </c>
      <c r="P174">
        <v>0</v>
      </c>
      <c r="Q174">
        <v>0</v>
      </c>
      <c r="R174">
        <v>0</v>
      </c>
      <c r="S174">
        <v>0</v>
      </c>
    </row>
    <row r="175" spans="1:19" x14ac:dyDescent="0.25">
      <c r="A175" t="s">
        <v>424</v>
      </c>
      <c r="B175">
        <v>6</v>
      </c>
      <c r="C175" t="s">
        <v>435</v>
      </c>
      <c r="D175" t="s">
        <v>319</v>
      </c>
      <c r="E175" t="s">
        <v>427</v>
      </c>
      <c r="F175" t="s">
        <v>427</v>
      </c>
      <c r="G175" t="s">
        <v>59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25">
      <c r="A176" t="s">
        <v>424</v>
      </c>
      <c r="B176">
        <v>7</v>
      </c>
      <c r="C176" t="s">
        <v>436</v>
      </c>
      <c r="D176" t="s">
        <v>398</v>
      </c>
      <c r="E176" t="s">
        <v>427</v>
      </c>
      <c r="F176" t="s">
        <v>427</v>
      </c>
      <c r="G176" t="s">
        <v>59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25">
      <c r="A177" t="s">
        <v>424</v>
      </c>
      <c r="B177">
        <v>8</v>
      </c>
      <c r="C177" t="s">
        <v>437</v>
      </c>
      <c r="D177" t="s">
        <v>405</v>
      </c>
      <c r="E177" t="s">
        <v>427</v>
      </c>
      <c r="F177" t="s">
        <v>427</v>
      </c>
      <c r="G177" t="s">
        <v>59</v>
      </c>
      <c r="H177">
        <v>71171</v>
      </c>
      <c r="I177">
        <v>135.19888888888801</v>
      </c>
      <c r="J177">
        <v>526.41704813484603</v>
      </c>
      <c r="K177">
        <v>499.46664303197599</v>
      </c>
      <c r="L177">
        <v>142.494000335961</v>
      </c>
      <c r="M177">
        <v>7.2951114470727001</v>
      </c>
      <c r="N177">
        <v>1.05395836834922</v>
      </c>
      <c r="P177">
        <v>0</v>
      </c>
      <c r="Q177">
        <v>0</v>
      </c>
      <c r="R177">
        <v>0</v>
      </c>
      <c r="S177">
        <v>0</v>
      </c>
    </row>
    <row r="178" spans="1:19" x14ac:dyDescent="0.25">
      <c r="A178" t="s">
        <v>424</v>
      </c>
      <c r="B178">
        <v>9</v>
      </c>
      <c r="C178" t="s">
        <v>438</v>
      </c>
      <c r="D178" t="s">
        <v>418</v>
      </c>
      <c r="E178" t="s">
        <v>427</v>
      </c>
      <c r="F178" t="s">
        <v>427</v>
      </c>
      <c r="G178" t="s">
        <v>269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25">
      <c r="A179" t="s">
        <v>424</v>
      </c>
      <c r="B179">
        <v>10</v>
      </c>
      <c r="C179" t="s">
        <v>439</v>
      </c>
      <c r="D179" t="s">
        <v>440</v>
      </c>
      <c r="E179" t="s">
        <v>427</v>
      </c>
      <c r="F179" t="s">
        <v>427</v>
      </c>
      <c r="G179" t="s">
        <v>59</v>
      </c>
      <c r="H179">
        <v>131235</v>
      </c>
      <c r="I179">
        <v>932.78833333333296</v>
      </c>
      <c r="J179">
        <v>140.69108211401999</v>
      </c>
      <c r="K179">
        <v>179.95883463324799</v>
      </c>
      <c r="L179">
        <v>729.25011026801701</v>
      </c>
      <c r="M179">
        <v>-203.538223065316</v>
      </c>
      <c r="N179">
        <v>0.781795916831453</v>
      </c>
      <c r="P179">
        <v>0</v>
      </c>
      <c r="Q179">
        <v>0</v>
      </c>
      <c r="R179">
        <v>0</v>
      </c>
      <c r="S179">
        <v>0</v>
      </c>
    </row>
    <row r="180" spans="1:19" x14ac:dyDescent="0.25">
      <c r="A180" t="s">
        <v>441</v>
      </c>
      <c r="B180">
        <v>1</v>
      </c>
      <c r="C180" t="s">
        <v>442</v>
      </c>
      <c r="D180" t="s">
        <v>13</v>
      </c>
      <c r="E180" t="s">
        <v>443</v>
      </c>
      <c r="F180" t="s">
        <v>443</v>
      </c>
      <c r="G180" t="s">
        <v>59</v>
      </c>
      <c r="H180">
        <v>60064</v>
      </c>
      <c r="I180">
        <v>309.354166666666</v>
      </c>
      <c r="J180">
        <v>194.15933732911299</v>
      </c>
      <c r="K180">
        <v>228.07614906168899</v>
      </c>
      <c r="L180">
        <v>263.35064077109598</v>
      </c>
      <c r="M180">
        <v>-46.003525895570498</v>
      </c>
      <c r="N180">
        <v>0.85129172045340495</v>
      </c>
      <c r="P180">
        <v>0</v>
      </c>
      <c r="Q180">
        <v>0</v>
      </c>
      <c r="R180">
        <v>0</v>
      </c>
      <c r="S180">
        <v>0</v>
      </c>
    </row>
    <row r="181" spans="1:19" x14ac:dyDescent="0.25">
      <c r="A181" t="s">
        <v>441</v>
      </c>
      <c r="B181">
        <v>2</v>
      </c>
      <c r="C181" t="s">
        <v>444</v>
      </c>
      <c r="D181" t="s">
        <v>445</v>
      </c>
      <c r="E181" t="s">
        <v>443</v>
      </c>
      <c r="F181" t="s">
        <v>443</v>
      </c>
      <c r="G181" t="s">
        <v>59</v>
      </c>
      <c r="H181">
        <v>71171</v>
      </c>
      <c r="I181">
        <v>486.06861111111101</v>
      </c>
      <c r="J181">
        <v>146.42171572714599</v>
      </c>
      <c r="K181">
        <v>220.06739769938099</v>
      </c>
      <c r="L181">
        <v>323.405469160959</v>
      </c>
      <c r="M181">
        <v>-162.66314195015099</v>
      </c>
      <c r="N181">
        <v>0.66534942139481501</v>
      </c>
      <c r="P181">
        <v>0</v>
      </c>
      <c r="Q181">
        <v>0</v>
      </c>
      <c r="R181">
        <v>0</v>
      </c>
      <c r="S181">
        <v>0</v>
      </c>
    </row>
    <row r="182" spans="1:19" x14ac:dyDescent="0.25">
      <c r="A182" t="s">
        <v>441</v>
      </c>
      <c r="B182">
        <v>3</v>
      </c>
      <c r="C182" t="s">
        <v>446</v>
      </c>
      <c r="D182" t="s">
        <v>319</v>
      </c>
      <c r="E182" t="s">
        <v>443</v>
      </c>
      <c r="F182" t="s">
        <v>443</v>
      </c>
      <c r="G182" t="s">
        <v>59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25">
      <c r="A183" t="s">
        <v>441</v>
      </c>
      <c r="B183">
        <v>4</v>
      </c>
      <c r="C183" t="s">
        <v>447</v>
      </c>
      <c r="D183" t="s">
        <v>405</v>
      </c>
      <c r="E183" t="s">
        <v>443</v>
      </c>
      <c r="F183" t="s">
        <v>443</v>
      </c>
      <c r="G183" t="s">
        <v>59</v>
      </c>
      <c r="H183">
        <v>71171</v>
      </c>
      <c r="I183">
        <v>135.19888888888801</v>
      </c>
      <c r="J183">
        <v>526.41704813484603</v>
      </c>
      <c r="K183">
        <v>499.46664303197599</v>
      </c>
      <c r="L183">
        <v>142.494000335961</v>
      </c>
      <c r="M183">
        <v>7.2951114470727001</v>
      </c>
      <c r="N183">
        <v>1.05395836834922</v>
      </c>
      <c r="P183">
        <v>0</v>
      </c>
      <c r="Q183">
        <v>0</v>
      </c>
      <c r="R183">
        <v>0</v>
      </c>
      <c r="S183">
        <v>0</v>
      </c>
    </row>
    <row r="184" spans="1:19" x14ac:dyDescent="0.25">
      <c r="A184" t="s">
        <v>441</v>
      </c>
      <c r="B184">
        <v>5</v>
      </c>
      <c r="C184" t="s">
        <v>448</v>
      </c>
      <c r="D184" t="s">
        <v>418</v>
      </c>
      <c r="E184" t="s">
        <v>443</v>
      </c>
      <c r="F184" t="s">
        <v>443</v>
      </c>
      <c r="G184" t="s">
        <v>269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25">
      <c r="A185" t="s">
        <v>441</v>
      </c>
      <c r="B185">
        <v>6</v>
      </c>
      <c r="C185" t="s">
        <v>449</v>
      </c>
      <c r="D185" t="s">
        <v>440</v>
      </c>
      <c r="E185" t="s">
        <v>443</v>
      </c>
      <c r="F185" t="s">
        <v>443</v>
      </c>
      <c r="G185" t="s">
        <v>59</v>
      </c>
      <c r="H185">
        <v>131235</v>
      </c>
      <c r="I185">
        <v>930.62166666666599</v>
      </c>
      <c r="J185">
        <v>141.01863807884601</v>
      </c>
      <c r="K185">
        <v>179.95883463324799</v>
      </c>
      <c r="L185">
        <v>729.25011026801701</v>
      </c>
      <c r="M185">
        <v>-201.37155639864901</v>
      </c>
      <c r="N185">
        <v>0.78361608845844999</v>
      </c>
      <c r="P185">
        <v>0</v>
      </c>
      <c r="Q185">
        <v>0</v>
      </c>
      <c r="R185">
        <v>0</v>
      </c>
      <c r="S185">
        <v>0</v>
      </c>
    </row>
    <row r="186" spans="1:19" x14ac:dyDescent="0.25">
      <c r="A186" t="s">
        <v>33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B18"/>
  <sheetViews>
    <sheetView workbookViewId="0">
      <selection sqref="A1:A1048576"/>
    </sheetView>
  </sheetViews>
  <sheetFormatPr defaultRowHeight="15" x14ac:dyDescent="0.25"/>
  <cols>
    <col min="1" max="1" width="19.85546875" bestFit="1" customWidth="1"/>
    <col min="2" max="2" width="21.140625" bestFit="1" customWidth="1"/>
  </cols>
  <sheetData>
    <row r="1" spans="1:2" x14ac:dyDescent="0.25">
      <c r="A1" t="s">
        <v>454</v>
      </c>
      <c r="B1" t="s">
        <v>455</v>
      </c>
    </row>
    <row r="2" spans="1:2" x14ac:dyDescent="0.25">
      <c r="A2" t="s">
        <v>456</v>
      </c>
      <c r="B2" t="s">
        <v>457</v>
      </c>
    </row>
    <row r="3" spans="1:2" x14ac:dyDescent="0.25">
      <c r="A3" t="s">
        <v>458</v>
      </c>
      <c r="B3" t="s">
        <v>459</v>
      </c>
    </row>
    <row r="4" spans="1:2" x14ac:dyDescent="0.25">
      <c r="A4" t="s">
        <v>460</v>
      </c>
      <c r="B4">
        <v>206</v>
      </c>
    </row>
    <row r="5" spans="1:2" x14ac:dyDescent="0.25">
      <c r="A5" t="s">
        <v>461</v>
      </c>
      <c r="B5">
        <v>394</v>
      </c>
    </row>
    <row r="6" spans="1:2" x14ac:dyDescent="0.25">
      <c r="A6" t="s">
        <v>462</v>
      </c>
      <c r="B6">
        <v>620</v>
      </c>
    </row>
    <row r="7" spans="1:2" x14ac:dyDescent="0.25">
      <c r="A7" t="s">
        <v>463</v>
      </c>
      <c r="B7">
        <v>566</v>
      </c>
    </row>
    <row r="8" spans="1:2" x14ac:dyDescent="0.25">
      <c r="A8" t="s">
        <v>464</v>
      </c>
      <c r="B8">
        <v>620</v>
      </c>
    </row>
    <row r="9" spans="1:2" x14ac:dyDescent="0.25">
      <c r="A9" t="s">
        <v>465</v>
      </c>
      <c r="B9">
        <v>407</v>
      </c>
    </row>
    <row r="10" spans="1:2" x14ac:dyDescent="0.25">
      <c r="A10" t="s">
        <v>466</v>
      </c>
      <c r="B10">
        <v>449</v>
      </c>
    </row>
    <row r="11" spans="1:2" x14ac:dyDescent="0.25">
      <c r="A11" t="s">
        <v>467</v>
      </c>
      <c r="B11">
        <v>298</v>
      </c>
    </row>
    <row r="12" spans="1:2" x14ac:dyDescent="0.25">
      <c r="A12" t="s">
        <v>468</v>
      </c>
      <c r="B12">
        <v>206</v>
      </c>
    </row>
    <row r="13" spans="1:2" x14ac:dyDescent="0.25">
      <c r="A13" t="s">
        <v>469</v>
      </c>
      <c r="B13">
        <v>408</v>
      </c>
    </row>
    <row r="14" spans="1:2" x14ac:dyDescent="0.25">
      <c r="A14" t="s">
        <v>470</v>
      </c>
      <c r="B14">
        <v>255</v>
      </c>
    </row>
    <row r="15" spans="1:2" x14ac:dyDescent="0.25">
      <c r="A15" t="s">
        <v>471</v>
      </c>
      <c r="B15">
        <v>386</v>
      </c>
    </row>
    <row r="16" spans="1:2" x14ac:dyDescent="0.25">
      <c r="A16" t="s">
        <v>472</v>
      </c>
      <c r="B16">
        <v>449</v>
      </c>
    </row>
    <row r="17" spans="1:2" x14ac:dyDescent="0.25">
      <c r="A17" t="s">
        <v>473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14</vt:i4>
      </vt:variant>
    </vt:vector>
  </HeadingPairs>
  <TitlesOfParts>
    <vt:vector size="50" baseType="lpstr">
      <vt:lpstr>Report Generator</vt:lpstr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ppr1</vt:lpstr>
      <vt:lpstr>pidppr1</vt:lpstr>
      <vt:lpstr>ppr2</vt:lpstr>
      <vt:lpstr>pidppr2</vt:lpstr>
      <vt:lpstr>ppr3</vt:lpstr>
      <vt:lpstr>pidppr3</vt:lpstr>
      <vt:lpstr>ppr4</vt:lpstr>
      <vt:lpstr>pidppr4</vt:lpstr>
      <vt:lpstr>ppr5</vt:lpstr>
      <vt:lpstr>pidppr5</vt:lpstr>
      <vt:lpstr>ppr6</vt:lpstr>
      <vt:lpstr>pidppr6</vt:lpstr>
      <vt:lpstr>ppr7</vt:lpstr>
      <vt:lpstr>pidppr7</vt:lpstr>
      <vt:lpstr>pidppr5!website1</vt:lpstr>
      <vt:lpstr>'ppr5'!website1</vt:lpstr>
      <vt:lpstr>pidppr6!website2</vt:lpstr>
      <vt:lpstr>'ppr6'!website2</vt:lpstr>
      <vt:lpstr>pidppr1!website27</vt:lpstr>
      <vt:lpstr>'ppr1'!website27</vt:lpstr>
      <vt:lpstr>pidppr2!website28</vt:lpstr>
      <vt:lpstr>'ppr2'!website28</vt:lpstr>
      <vt:lpstr>pidppr3!website29</vt:lpstr>
      <vt:lpstr>'ppr3'!website29</vt:lpstr>
      <vt:lpstr>pidppr7!website3</vt:lpstr>
      <vt:lpstr>'ppr7'!website3</vt:lpstr>
      <vt:lpstr>pidppr4!website30</vt:lpstr>
      <vt:lpstr>'ppr4'!website30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2020-10-07T19:54:33Z</dcterms:modified>
</cp:coreProperties>
</file>