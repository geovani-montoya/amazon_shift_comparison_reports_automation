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github ready\Shift_Comparison_Reporting\"/>
    </mc:Choice>
  </mc:AlternateContent>
  <bookViews>
    <workbookView xWindow="0" yWindow="0" windowWidth="2450" windowHeight="360" tabRatio="738" activeTab="1"/>
  </bookViews>
  <sheets>
    <sheet name="Human error report" sheetId="29" r:id="rId1"/>
    <sheet name="Report Generator" sheetId="35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5" l="1"/>
  <c r="B31" i="35"/>
  <c r="D43" i="35" l="1"/>
  <c r="D44" i="35" s="1"/>
  <c r="C43" i="35"/>
  <c r="C44" i="35" s="1"/>
  <c r="B43" i="35"/>
  <c r="B44" i="35" s="1"/>
  <c r="B30" i="35"/>
  <c r="C10" i="35"/>
  <c r="D10" i="35"/>
  <c r="E10" i="35"/>
  <c r="F10" i="35"/>
  <c r="G10" i="35"/>
  <c r="H10" i="35"/>
  <c r="I10" i="35"/>
  <c r="J10" i="35"/>
  <c r="K10" i="35"/>
  <c r="L10" i="35"/>
  <c r="M10" i="35"/>
  <c r="N10" i="35"/>
  <c r="O10" i="35"/>
  <c r="P10" i="35"/>
  <c r="C11" i="35"/>
  <c r="D11" i="35"/>
  <c r="E11" i="35"/>
  <c r="F11" i="35"/>
  <c r="G11" i="35"/>
  <c r="H11" i="35"/>
  <c r="I11" i="35"/>
  <c r="J11" i="35"/>
  <c r="K11" i="35"/>
  <c r="L11" i="35"/>
  <c r="M11" i="35"/>
  <c r="N11" i="35"/>
  <c r="O11" i="35"/>
  <c r="P11" i="35"/>
  <c r="B11" i="35"/>
  <c r="D30" i="35"/>
  <c r="C30" i="35"/>
  <c r="E30" i="35"/>
  <c r="F30" i="35"/>
  <c r="G30" i="35"/>
  <c r="H30" i="35"/>
  <c r="I30" i="35"/>
  <c r="J30" i="35"/>
  <c r="K30" i="35"/>
  <c r="L30" i="35"/>
  <c r="M30" i="35"/>
  <c r="N30" i="35"/>
  <c r="O30" i="35"/>
  <c r="P30" i="35"/>
  <c r="C31" i="35"/>
  <c r="D31" i="35"/>
  <c r="E31" i="35"/>
  <c r="F31" i="35"/>
  <c r="G31" i="35"/>
  <c r="H31" i="35"/>
  <c r="I31" i="35"/>
  <c r="J31" i="35"/>
  <c r="K31" i="35"/>
  <c r="L31" i="35"/>
  <c r="M31" i="35"/>
  <c r="N31" i="35"/>
  <c r="O31" i="35"/>
  <c r="P31" i="35"/>
  <c r="P43" i="35"/>
  <c r="P44" i="35" s="1"/>
  <c r="O43" i="35"/>
  <c r="O44" i="35" s="1"/>
  <c r="N43" i="35"/>
  <c r="N44" i="35" s="1"/>
  <c r="M43" i="35"/>
  <c r="M44" i="35" s="1"/>
  <c r="L43" i="35"/>
  <c r="L44" i="35" s="1"/>
  <c r="K43" i="35"/>
  <c r="K44" i="35" s="1"/>
  <c r="J43" i="35"/>
  <c r="J44" i="35" s="1"/>
  <c r="I43" i="35"/>
  <c r="I44" i="35" s="1"/>
  <c r="H43" i="35"/>
  <c r="H44" i="35" s="1"/>
  <c r="G43" i="35"/>
  <c r="G44" i="35" s="1"/>
  <c r="F43" i="35"/>
  <c r="F44" i="35" s="1"/>
  <c r="E43" i="35"/>
  <c r="E44" i="35" s="1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B5" i="29"/>
  <c r="B4" i="29"/>
  <c r="E5" i="29"/>
  <c r="E4" i="29"/>
  <c r="D5" i="29"/>
  <c r="D4" i="29"/>
  <c r="C5" i="29"/>
  <c r="C4" i="29"/>
  <c r="C39" i="29"/>
  <c r="F32" i="35" l="1"/>
  <c r="N32" i="35"/>
  <c r="O32" i="35"/>
  <c r="G32" i="35"/>
  <c r="M32" i="35"/>
  <c r="E32" i="35"/>
  <c r="G12" i="35"/>
  <c r="K12" i="35"/>
  <c r="B12" i="35"/>
  <c r="B32" i="35"/>
  <c r="C32" i="35"/>
  <c r="H32" i="35"/>
  <c r="J32" i="35"/>
  <c r="L32" i="35"/>
  <c r="P32" i="35"/>
  <c r="I32" i="35"/>
  <c r="K32" i="35"/>
  <c r="D32" i="35"/>
  <c r="C12" i="35"/>
  <c r="O12" i="35"/>
  <c r="P12" i="35"/>
  <c r="N12" i="35"/>
  <c r="H12" i="35"/>
  <c r="J12" i="35"/>
  <c r="L12" i="35"/>
  <c r="M12" i="35"/>
  <c r="I12" i="35"/>
  <c r="F12" i="35"/>
  <c r="E12" i="35"/>
  <c r="D12" i="35"/>
  <c r="O16" i="29"/>
  <c r="O17" i="29" s="1"/>
  <c r="P16" i="29"/>
  <c r="P17" i="29" s="1"/>
  <c r="N16" i="29"/>
  <c r="N17" i="29" s="1"/>
  <c r="M16" i="29"/>
  <c r="M17" i="29" s="1"/>
  <c r="L16" i="29"/>
  <c r="L17" i="29" s="1"/>
  <c r="K16" i="29"/>
  <c r="K17" i="29" s="1"/>
  <c r="J16" i="29"/>
  <c r="J17" i="29" s="1"/>
  <c r="I16" i="29"/>
  <c r="I17" i="29" s="1"/>
  <c r="H16" i="29"/>
  <c r="H17" i="29" s="1"/>
  <c r="G16" i="29"/>
  <c r="G17" i="29" s="1"/>
  <c r="F16" i="29"/>
  <c r="F17" i="29" s="1"/>
  <c r="E16" i="29"/>
  <c r="E17" i="29" s="1"/>
  <c r="D16" i="29"/>
  <c r="D17" i="29" s="1"/>
  <c r="C16" i="29"/>
  <c r="C17" i="29" s="1"/>
  <c r="B16" i="29"/>
  <c r="B17" i="29" s="1"/>
  <c r="P5" i="29"/>
  <c r="O5" i="29"/>
  <c r="N5" i="29"/>
  <c r="M5" i="29"/>
  <c r="L5" i="29"/>
  <c r="K5" i="29"/>
  <c r="J5" i="29"/>
  <c r="I5" i="29"/>
  <c r="H5" i="29"/>
  <c r="G5" i="29"/>
  <c r="F5" i="29"/>
  <c r="P4" i="29"/>
  <c r="O4" i="29"/>
  <c r="N4" i="29"/>
  <c r="M4" i="29"/>
  <c r="L4" i="29"/>
  <c r="K4" i="29"/>
  <c r="J4" i="29"/>
  <c r="I4" i="29"/>
  <c r="H4" i="29"/>
  <c r="G4" i="29"/>
  <c r="F4" i="29"/>
</calcChain>
</file>

<file path=xl/sharedStrings.xml><?xml version="1.0" encoding="utf-8"?>
<sst xmlns="http://schemas.openxmlformats.org/spreadsheetml/2006/main" count="80" uniqueCount="31">
  <si>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</si>
  <si>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</si>
  <si>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</si>
  <si>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</si>
  <si>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</si>
  <si>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</si>
  <si>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</si>
  <si>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</si>
  <si>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</si>
  <si>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TO Dock</t>
  </si>
  <si>
    <t>IB Total</t>
  </si>
  <si>
    <t xml:space="preserve">TO Total </t>
  </si>
  <si>
    <t>Inbound</t>
  </si>
  <si>
    <t>Trans Out</t>
  </si>
  <si>
    <t>UPC</t>
  </si>
  <si>
    <t xml:space="preserve">Pick Volume </t>
  </si>
  <si>
    <t>Receive Volume</t>
  </si>
  <si>
    <t>TOT%</t>
  </si>
  <si>
    <t>Pick Rate</t>
  </si>
  <si>
    <t>IB CPLH</t>
  </si>
  <si>
    <t>OB CPLH</t>
  </si>
  <si>
    <t>computer coded</t>
  </si>
  <si>
    <t>hard code (errors in red)</t>
  </si>
  <si>
    <t>hardcode % error</t>
  </si>
  <si>
    <t>* Before clicking make sure you have all the data in the proper days!</t>
  </si>
  <si>
    <t>Absolute difference</t>
  </si>
  <si>
    <t>* Open FireFox first</t>
  </si>
  <si>
    <t>** Guide to download data click here</t>
  </si>
  <si>
    <t>* Wednesday is considered to be Front Half this week</t>
  </si>
  <si>
    <t>*Wednesday is considered to be Back Half this week</t>
  </si>
  <si>
    <t>OR/AND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</si>
</sst>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7" fillId="0" borderId="0" applyNumberFormat="0" applyFill="0" applyBorder="0" applyAlignment="0" applyProtection="0"/>
  </cellStyleXfs>
  <cellXfs count="62">
    <xf numFmtId="0" fontId="0" fillId="0" borderId="0" xfId="0"/>
    <xf numFmtId="0" fontId="3" fillId="5" borderId="0" xfId="1" applyFont="1" applyFill="1" applyBorder="1"/>
    <xf numFmtId="0" fontId="0" fillId="5" borderId="0" xfId="1" applyFont="1" applyFill="1"/>
    <xf numFmtId="0" fontId="0" fillId="5" borderId="0" xfId="1" applyFont="1" applyFill="1" applyBorder="1"/>
    <xf numFmtId="0" fontId="2" fillId="5" borderId="0" xfId="1" applyFont="1" applyFill="1" applyBorder="1" applyAlignment="1">
      <alignment horizontal="right"/>
    </xf>
    <xf numFmtId="14" fontId="0" fillId="5" borderId="0" xfId="1" applyNumberFormat="1" applyFont="1" applyFill="1" applyBorder="1" applyAlignment="1">
      <alignment horizontal="left"/>
    </xf>
    <xf numFmtId="0" fontId="2" fillId="5" borderId="0" xfId="1" applyFont="1" applyFill="1" applyBorder="1" applyAlignment="1">
      <alignment horizontal="center"/>
    </xf>
    <xf numFmtId="43" fontId="2" fillId="5" borderId="0" xfId="1" applyNumberFormat="1" applyFont="1" applyFill="1" applyBorder="1" applyAlignment="1">
      <alignment horizontal="center"/>
    </xf>
    <xf numFmtId="14" fontId="0" fillId="5" borderId="0" xfId="1" applyNumberFormat="1" applyFont="1" applyFill="1"/>
    <xf numFmtId="0" fontId="3" fillId="5" borderId="6" xfId="1" applyFont="1" applyFill="1" applyBorder="1" applyAlignment="1">
      <alignment horizontal="center"/>
    </xf>
    <xf numFmtId="164" fontId="2" fillId="5" borderId="1" xfId="1" applyNumberFormat="1" applyFont="1" applyFill="1" applyBorder="1" applyAlignment="1">
      <alignment horizontal="center"/>
    </xf>
    <xf numFmtId="165" fontId="2" fillId="5" borderId="1" xfId="1" applyNumberFormat="1" applyFont="1" applyFill="1" applyBorder="1" applyAlignment="1">
      <alignment horizontal="center"/>
    </xf>
    <xf numFmtId="9" fontId="4" fillId="5" borderId="1" xfId="1" applyNumberFormat="1" applyFont="1" applyFill="1" applyBorder="1" applyAlignment="1">
      <alignment horizontal="center"/>
    </xf>
    <xf numFmtId="164" fontId="2" fillId="6" borderId="1" xfId="1" applyNumberFormat="1" applyFont="1" applyFill="1" applyBorder="1" applyAlignment="1">
      <alignment horizontal="center"/>
    </xf>
    <xf numFmtId="165" fontId="2" fillId="6" borderId="1" xfId="1" applyNumberFormat="1" applyFont="1" applyFill="1" applyBorder="1" applyAlignment="1">
      <alignment horizontal="center"/>
    </xf>
    <xf numFmtId="164" fontId="2" fillId="7" borderId="1" xfId="1" applyNumberFormat="1" applyFont="1" applyFill="1" applyBorder="1" applyAlignment="1">
      <alignment horizontal="center"/>
    </xf>
    <xf numFmtId="165" fontId="2" fillId="7" borderId="1" xfId="1" applyNumberFormat="1" applyFont="1" applyFill="1" applyBorder="1" applyAlignment="1">
      <alignment horizontal="center"/>
    </xf>
    <xf numFmtId="164" fontId="6" fillId="8" borderId="1" xfId="1" applyNumberFormat="1" applyFont="1" applyFill="1" applyBorder="1" applyAlignment="1">
      <alignment horizontal="center"/>
    </xf>
    <xf numFmtId="165" fontId="6" fillId="8" borderId="1" xfId="1" applyNumberFormat="1" applyFont="1" applyFill="1" applyBorder="1" applyAlignment="1">
      <alignment horizontal="center"/>
    </xf>
    <xf numFmtId="0" fontId="0" fillId="5" borderId="0" xfId="1" applyFont="1" applyFill="1" applyAlignment="1">
      <alignment horizontal="center"/>
    </xf>
    <xf numFmtId="164" fontId="2" fillId="9" borderId="1" xfId="1" applyNumberFormat="1" applyFont="1" applyFill="1" applyBorder="1" applyAlignment="1">
      <alignment horizontal="center"/>
    </xf>
    <xf numFmtId="0" fontId="5" fillId="9" borderId="1" xfId="1" applyFont="1" applyFill="1" applyBorder="1" applyAlignment="1">
      <alignment horizontal="center"/>
    </xf>
    <xf numFmtId="9" fontId="5" fillId="9" borderId="1" xfId="1" applyNumberFormat="1" applyFont="1" applyFill="1" applyBorder="1" applyAlignment="1">
      <alignment horizontal="center"/>
    </xf>
    <xf numFmtId="14" fontId="2" fillId="5" borderId="0" xfId="1" applyNumberFormat="1" applyFont="1" applyFill="1" applyBorder="1" applyAlignment="1">
      <alignment horizontal="center"/>
    </xf>
    <xf numFmtId="0" fontId="3" fillId="5" borderId="5" xfId="1" applyFont="1" applyFill="1" applyBorder="1" applyAlignment="1">
      <alignment horizontal="center"/>
    </xf>
    <xf numFmtId="164" fontId="2" fillId="5" borderId="2" xfId="1" applyNumberFormat="1" applyFont="1" applyFill="1" applyBorder="1" applyAlignment="1">
      <alignment horizontal="center"/>
    </xf>
    <xf numFmtId="0" fontId="3" fillId="5" borderId="9" xfId="1" applyFont="1" applyFill="1" applyBorder="1" applyAlignment="1">
      <alignment horizontal="center"/>
    </xf>
    <xf numFmtId="164" fontId="2" fillId="5" borderId="7" xfId="1" applyNumberFormat="1" applyFont="1" applyFill="1" applyBorder="1" applyAlignment="1">
      <alignment horizontal="center"/>
    </xf>
    <xf numFmtId="164" fontId="2" fillId="6" borderId="2" xfId="1" applyNumberFormat="1" applyFont="1" applyFill="1" applyBorder="1" applyAlignment="1">
      <alignment horizontal="center"/>
    </xf>
    <xf numFmtId="164" fontId="6" fillId="8" borderId="2" xfId="1" applyNumberFormat="1" applyFont="1" applyFill="1" applyBorder="1" applyAlignment="1">
      <alignment horizontal="center"/>
    </xf>
    <xf numFmtId="164" fontId="2" fillId="7" borderId="2" xfId="1" applyNumberFormat="1" applyFont="1" applyFill="1" applyBorder="1" applyAlignment="1">
      <alignment horizontal="center"/>
    </xf>
    <xf numFmtId="164" fontId="2" fillId="6" borderId="7" xfId="1" applyNumberFormat="1" applyFont="1" applyFill="1" applyBorder="1" applyAlignment="1">
      <alignment horizontal="center"/>
    </xf>
    <xf numFmtId="164" fontId="6" fillId="8" borderId="7" xfId="1" applyNumberFormat="1" applyFont="1" applyFill="1" applyBorder="1" applyAlignment="1">
      <alignment horizontal="center"/>
    </xf>
    <xf numFmtId="164" fontId="2" fillId="7" borderId="7" xfId="1" applyNumberFormat="1" applyFont="1" applyFill="1" applyBorder="1" applyAlignment="1">
      <alignment horizontal="center"/>
    </xf>
    <xf numFmtId="164" fontId="2" fillId="9" borderId="2" xfId="1" applyNumberFormat="1" applyFont="1" applyFill="1" applyBorder="1" applyAlignment="1">
      <alignment horizontal="center"/>
    </xf>
    <xf numFmtId="9" fontId="4" fillId="5" borderId="2" xfId="1" applyNumberFormat="1" applyFont="1" applyFill="1" applyBorder="1" applyAlignment="1">
      <alignment horizontal="center"/>
    </xf>
    <xf numFmtId="164" fontId="2" fillId="9" borderId="7" xfId="1" applyNumberFormat="1" applyFont="1" applyFill="1" applyBorder="1" applyAlignment="1">
      <alignment horizontal="center"/>
    </xf>
    <xf numFmtId="9" fontId="4" fillId="5" borderId="7" xfId="1" applyNumberFormat="1" applyFont="1" applyFill="1" applyBorder="1" applyAlignment="1">
      <alignment horizontal="center"/>
    </xf>
    <xf numFmtId="9" fontId="5" fillId="9" borderId="2" xfId="1" applyNumberFormat="1" applyFont="1" applyFill="1" applyBorder="1" applyAlignment="1">
      <alignment horizontal="center"/>
    </xf>
    <xf numFmtId="0" fontId="5" fillId="9" borderId="7" xfId="1" applyFont="1" applyFill="1" applyBorder="1" applyAlignment="1">
      <alignment horizontal="center"/>
    </xf>
    <xf numFmtId="0" fontId="0" fillId="5" borderId="0" xfId="1" applyFont="1" applyFill="1" applyAlignment="1">
      <alignment horizontal="center"/>
    </xf>
    <xf numFmtId="0" fontId="2" fillId="5" borderId="0" xfId="1" applyFont="1" applyFill="1" applyBorder="1" applyAlignment="1">
      <alignment horizontal="center"/>
    </xf>
    <xf numFmtId="164" fontId="6" fillId="2" borderId="1" xfId="1" applyNumberFormat="1" applyFont="1" applyFill="1" applyBorder="1" applyAlignment="1">
      <alignment horizontal="center"/>
    </xf>
    <xf numFmtId="165" fontId="6" fillId="2" borderId="1" xfId="1" applyNumberFormat="1" applyFont="1" applyFill="1" applyBorder="1" applyAlignment="1">
      <alignment horizontal="center"/>
    </xf>
    <xf numFmtId="164" fontId="6" fillId="2" borderId="2" xfId="1" applyNumberFormat="1" applyFont="1" applyFill="1" applyBorder="1" applyAlignment="1">
      <alignment horizontal="center"/>
    </xf>
    <xf numFmtId="164" fontId="6" fillId="2" borderId="7" xfId="1" applyNumberFormat="1" applyFont="1" applyFill="1" applyBorder="1" applyAlignment="1">
      <alignment horizontal="center"/>
    </xf>
    <xf numFmtId="0" fontId="0" fillId="4" borderId="0" xfId="1" applyFont="1" applyFill="1"/>
    <xf numFmtId="10" fontId="0" fillId="4" borderId="0" xfId="1" applyNumberFormat="1" applyFont="1" applyFill="1"/>
    <xf numFmtId="0" fontId="7" fillId="5" borderId="0" xfId="2" applyFill="1"/>
    <xf numFmtId="0" fontId="0" fillId="5" borderId="0" xfId="1" applyFont="1" applyFill="1" applyBorder="1" applyAlignment="1">
      <alignment horizontal="center"/>
    </xf>
    <xf numFmtId="0" fontId="2" fillId="5" borderId="0" xfId="1" applyFont="1" applyFill="1" applyBorder="1" applyAlignment="1"/>
    <xf numFmtId="0" fontId="0" fillId="5" borderId="0" xfId="1" applyFont="1" applyFill="1" applyAlignment="1">
      <alignment horizontal="left"/>
    </xf>
    <xf numFmtId="0" fontId="8" fillId="5" borderId="0" xfId="1" applyFont="1" applyFill="1"/>
    <xf numFmtId="0" fontId="3" fillId="4" borderId="2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0" fontId="3" fillId="3" borderId="8" xfId="1" applyFont="1" applyFill="1" applyBorder="1" applyAlignment="1">
      <alignment horizontal="center"/>
    </xf>
    <xf numFmtId="0" fontId="3" fillId="3" borderId="3" xfId="1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/>
    </xf>
    <xf numFmtId="0" fontId="0" fillId="5" borderId="0" xfId="1" applyFont="1" applyFill="1" applyAlignment="1">
      <alignment horizontal="center"/>
    </xf>
    <xf numFmtId="0" fontId="2" fillId="5" borderId="0" xfId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7" fillId="5" borderId="0" xfId="2" applyFill="1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0"/>
  <tableStyles count="0" defaultTableStyle="TableStyleMedium2" defaultPivotStyle="PivotStyleLight16"/>
  <colors>
    <mruColors>
      <color rgb="FFE8B31C"/>
      <color rgb="FFC68606"/>
      <color rgb="FF66CCFF"/>
      <color rgb="FF33CC33"/>
      <color rgb="FFFF4747"/>
      <color rgb="FFFFE593"/>
      <color rgb="FFBDE7BB"/>
      <color rgb="FF96B3E2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1428750</xdr:colOff>
      <xdr:row>6</xdr:row>
      <xdr:rowOff>0</xdr:rowOff>
    </xdr:from>
    <xdr:to>
      <xdr:col>0</xdr:col>
      <xdr:colOff>1685925</xdr:colOff>
      <xdr:row>10</xdr:row>
      <xdr:rowOff>0</xdr:rowOff>
    </xdr:to>
    <xdr:sp macro="" textlink="">
      <xdr:nvSpPr>
        <xdr:cNvPr id="2" name="Rectangle 1"/>
        <xdr:cNvSpPr/>
      </xdr:nvSpPr>
      <xdr:spPr>
        <a:xfrm>
          <a:off x="1428750" y="1238250"/>
          <a:ext cx="257175" cy="8572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Ins="274320" bIns="182880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Front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1428750</xdr:colOff>
      <xdr:row>10</xdr:row>
      <xdr:rowOff>11906</xdr:rowOff>
    </xdr:from>
    <xdr:to>
      <xdr:col>0</xdr:col>
      <xdr:colOff>1678781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428750" y="2107406"/>
          <a:ext cx="250031" cy="63103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Ins="274320" bIns="274320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Back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666751</xdr:colOff>
      <xdr:row>0</xdr:row>
      <xdr:rowOff>107155</xdr:rowOff>
    </xdr:from>
    <xdr:to>
      <xdr:col>7</xdr:col>
      <xdr:colOff>285751</xdr:colOff>
      <xdr:row>2</xdr:row>
      <xdr:rowOff>142874</xdr:rowOff>
    </xdr:to>
    <xdr:sp macro="[0]!Main_Process.Main_Process" textlink="">
      <xdr:nvSpPr>
        <xdr:cNvPr id="4" name="Rectangle 3"/>
        <xdr:cNvSpPr/>
      </xdr:nvSpPr>
      <xdr:spPr>
        <a:xfrm>
          <a:off x="4750595" y="107155"/>
          <a:ext cx="2250281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2) Click to Generate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11905</xdr:colOff>
      <xdr:row>0</xdr:row>
      <xdr:rowOff>107157</xdr:rowOff>
    </xdr:from>
    <xdr:to>
      <xdr:col>3</xdr:col>
      <xdr:colOff>583406</xdr:colOff>
      <xdr:row>2</xdr:row>
      <xdr:rowOff>142876</xdr:rowOff>
    </xdr:to>
    <xdr:sp macro="[0]!openWebsites" textlink="">
      <xdr:nvSpPr>
        <xdr:cNvPr id="11" name="Rectangle 10"/>
        <xdr:cNvSpPr/>
      </xdr:nvSpPr>
      <xdr:spPr>
        <a:xfrm>
          <a:off x="1702593" y="107157"/>
          <a:ext cx="2369344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1)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Click to Open All Websites 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22" name="Group 21"/>
        <xdr:cNvGrpSpPr/>
      </xdr:nvGrpSpPr>
      <xdr:grpSpPr>
        <a:xfrm>
          <a:off x="1440657" y="6032500"/>
          <a:ext cx="337343" cy="1281907"/>
          <a:chOff x="1428750" y="6369844"/>
          <a:chExt cx="250031" cy="1512094"/>
        </a:xfrm>
      </xdr:grpSpPr>
      <xdr:sp macro="" textlink="">
        <xdr:nvSpPr>
          <xdr:cNvPr id="7" name="Rectangle 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-1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6" y="2376715"/>
          <a:ext cx="337343" cy="1297216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34" name="Group 33"/>
        <xdr:cNvGrpSpPr/>
      </xdr:nvGrpSpPr>
      <xdr:grpSpPr>
        <a:xfrm>
          <a:off x="1440656" y="2376714"/>
          <a:ext cx="337343" cy="1297215"/>
          <a:chOff x="1428750" y="6369844"/>
          <a:chExt cx="250031" cy="1512093"/>
        </a:xfrm>
      </xdr:grpSpPr>
      <xdr:sp macro="" textlink="">
        <xdr:nvSpPr>
          <xdr:cNvPr id="35" name="Rectangle 34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55" name="Group 54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56" name="Rectangle 5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7" name="Rectangle 5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58" name="Group 57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59" name="Rectangle 5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60" name="Rectangle 5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61" name="Group 60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62" name="Rectangle 6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63" name="Rectangle 6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64" name="Group 63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65" name="Rectangle 6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66" name="Rectangle 6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67" name="Group 66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68" name="Rectangle 6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69" name="Rectangle 6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1</xdr:col>
      <xdr:colOff>-1</xdr:colOff>
      <xdr:row>40</xdr:row>
      <xdr:rowOff>2</xdr:rowOff>
    </xdr:to>
    <xdr:grpSp>
      <xdr:nvGrpSpPr>
        <xdr:cNvPr id="70" name="Group 69"/>
        <xdr:cNvGrpSpPr/>
      </xdr:nvGrpSpPr>
      <xdr:grpSpPr>
        <a:xfrm>
          <a:off x="1440656" y="6032501"/>
          <a:ext cx="337343" cy="1270001"/>
          <a:chOff x="1428750" y="6369844"/>
          <a:chExt cx="250031" cy="1512094"/>
        </a:xfrm>
      </xdr:grpSpPr>
      <xdr:sp macro="" textlink="">
        <xdr:nvSpPr>
          <xdr:cNvPr id="71" name="Rectangle 7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2" name="Rectangle 7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NUAL%20SHIFT%20COMPARISONS%20STEP%20BY%20STEP%20GUIDE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C00000"/>
  </sheetPr>
  <dimension ref="A1:W39"/>
  <sheetViews>
    <sheetView topLeftCell="A11" zoomScale="80" zoomScaleNormal="80" workbookViewId="0">
      <selection activeCell="P27" sqref="P27"/>
    </sheetView>
  </sheetViews>
  <sheetFormatPr defaultColWidth="9.1796875" defaultRowHeight="14.5" x14ac:dyDescent="0.35"/>
  <cols>
    <col min="1" max="1" width="25.453125" style="3" bestFit="1" customWidth="1"/>
    <col min="2" max="2" width="14.81640625" style="2" bestFit="1" customWidth="1"/>
    <col min="3" max="3" width="12.1796875" style="2" bestFit="1" customWidth="1"/>
    <col min="4" max="4" width="8.81640625" style="2" customWidth="1"/>
    <col min="5" max="5" width="10.26953125" style="2" customWidth="1"/>
    <col min="6" max="6" width="19.453125" style="2" customWidth="1"/>
    <col min="7" max="7" width="9.7265625" style="2" customWidth="1"/>
    <col min="8" max="8" width="7.453125" style="2" customWidth="1"/>
    <col min="9" max="9" width="8.453125" style="2" customWidth="1"/>
    <col min="10" max="10" width="11" style="2" customWidth="1"/>
    <col min="11" max="11" width="14.26953125" style="2" customWidth="1"/>
    <col min="12" max="12" width="10" style="2" customWidth="1"/>
    <col min="13" max="13" width="7.26953125" style="2" customWidth="1"/>
    <col min="14" max="14" width="10.1796875" style="2" customWidth="1"/>
    <col min="15" max="15" width="11.453125" style="2" customWidth="1"/>
    <col min="16" max="16" width="8.26953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A1" s="1"/>
      <c r="B1" s="53" t="s">
        <v>12</v>
      </c>
      <c r="C1" s="54"/>
      <c r="D1" s="54"/>
      <c r="E1" s="54"/>
      <c r="F1" s="54"/>
      <c r="G1" s="54"/>
      <c r="H1" s="54"/>
      <c r="I1" s="54"/>
      <c r="J1" s="55" t="s">
        <v>13</v>
      </c>
      <c r="K1" s="56"/>
      <c r="L1" s="56"/>
      <c r="M1" s="56"/>
      <c r="N1" s="56"/>
      <c r="O1" s="56"/>
      <c r="P1" s="57"/>
      <c r="S1" s="58"/>
      <c r="T1" s="58"/>
      <c r="U1" s="58"/>
      <c r="V1" s="58"/>
    </row>
    <row r="2" spans="1:23" x14ac:dyDescent="0.35">
      <c r="A2" s="1"/>
      <c r="B2" s="9" t="s">
        <v>6</v>
      </c>
      <c r="C2" s="9" t="s">
        <v>7</v>
      </c>
      <c r="D2" s="9" t="s">
        <v>8</v>
      </c>
      <c r="E2" s="9" t="s">
        <v>10</v>
      </c>
      <c r="F2" s="9" t="s">
        <v>16</v>
      </c>
      <c r="G2" s="9" t="s">
        <v>19</v>
      </c>
      <c r="H2" s="9" t="s">
        <v>14</v>
      </c>
      <c r="I2" s="24" t="s">
        <v>17</v>
      </c>
      <c r="J2" s="26" t="s">
        <v>18</v>
      </c>
      <c r="K2" s="9" t="s">
        <v>15</v>
      </c>
      <c r="L2" s="9" t="s">
        <v>20</v>
      </c>
      <c r="M2" s="9" t="s">
        <v>14</v>
      </c>
      <c r="N2" s="9" t="s">
        <v>9</v>
      </c>
      <c r="O2" s="9" t="s">
        <v>11</v>
      </c>
      <c r="P2" s="9" t="s">
        <v>17</v>
      </c>
      <c r="Q2" s="3"/>
    </row>
    <row r="3" spans="1:23" x14ac:dyDescent="0.35">
      <c r="A3" s="4" t="s">
        <v>0</v>
      </c>
      <c r="B3" s="21">
        <v>995</v>
      </c>
      <c r="C3" s="21">
        <v>475</v>
      </c>
      <c r="D3" s="21">
        <v>85</v>
      </c>
      <c r="E3" s="21">
        <v>250</v>
      </c>
      <c r="F3" s="21"/>
      <c r="G3" s="21">
        <v>40</v>
      </c>
      <c r="H3" s="21">
        <v>9</v>
      </c>
      <c r="I3" s="38">
        <v>0.1</v>
      </c>
      <c r="J3" s="39">
        <v>0</v>
      </c>
      <c r="K3" s="21"/>
      <c r="L3" s="21">
        <v>30</v>
      </c>
      <c r="M3" s="21">
        <v>9</v>
      </c>
      <c r="N3" s="21">
        <v>1400</v>
      </c>
      <c r="O3" s="21">
        <v>200</v>
      </c>
      <c r="P3" s="22">
        <v>0.1</v>
      </c>
      <c r="Q3" s="3"/>
    </row>
    <row r="4" spans="1:23" x14ac:dyDescent="0.35">
      <c r="A4" s="4" t="s">
        <v>1</v>
      </c>
      <c r="B4" s="10">
        <f>IFERROR(AVERAGE(B7:B10),"")</f>
        <v>1548.3700000000001</v>
      </c>
      <c r="C4" s="10">
        <f>IFERROR(AVERAGE(C7:C9),"")</f>
        <v>801.45333333333326</v>
      </c>
      <c r="D4" s="10">
        <f>IFERROR(AVERAGE(D7:D9),"")</f>
        <v>54.53</v>
      </c>
      <c r="E4" s="10">
        <f>IFERROR(AVERAGE(E7:E9),"")</f>
        <v>237.87333333333333</v>
      </c>
      <c r="F4" s="11">
        <f>IFERROR(AVERAGE(F7:F9),"")</f>
        <v>92786.666666666672</v>
      </c>
      <c r="G4" s="10" t="str">
        <f t="shared" ref="G4" si="0">IFERROR(AVERAGE(G7:G9),"")</f>
        <v/>
      </c>
      <c r="H4" s="10">
        <f>IFERROR(AVERAGE(H7:H9),"")</f>
        <v>10.733333333333334</v>
      </c>
      <c r="I4" s="25">
        <f>IFERROR(AVERAGE(I7:I9),"")</f>
        <v>30.333333333333332</v>
      </c>
      <c r="J4" s="27">
        <f t="shared" ref="J4:P4" si="1">IFERROR(AVERAGE(J7:J9),"")</f>
        <v>39.846666666666664</v>
      </c>
      <c r="K4" s="11">
        <f t="shared" si="1"/>
        <v>101781</v>
      </c>
      <c r="L4" s="10" t="str">
        <f t="shared" si="1"/>
        <v/>
      </c>
      <c r="M4" s="10">
        <f t="shared" si="1"/>
        <v>8.5666666666666664</v>
      </c>
      <c r="N4" s="10">
        <f t="shared" si="1"/>
        <v>1808.6133333333335</v>
      </c>
      <c r="O4" s="10">
        <f t="shared" si="1"/>
        <v>344.73333333333335</v>
      </c>
      <c r="P4" s="10">
        <f t="shared" si="1"/>
        <v>35.666666666666664</v>
      </c>
      <c r="Q4" s="3"/>
    </row>
    <row r="5" spans="1:23" x14ac:dyDescent="0.35">
      <c r="A5" s="4" t="s">
        <v>2</v>
      </c>
      <c r="B5" s="10">
        <f>IFERROR(AVERAGE(B11:B13),"")</f>
        <v>2851.9133333333334</v>
      </c>
      <c r="C5" s="10">
        <f>IFERROR(AVERAGE(C10:C13),"")</f>
        <v>811</v>
      </c>
      <c r="D5" s="10">
        <f>IFERROR(AVERAGE(D10:D13),"")</f>
        <v>71.405000000000001</v>
      </c>
      <c r="E5" s="10">
        <f>IFERROR(AVERAGE(E10:E13),"")</f>
        <v>274.8</v>
      </c>
      <c r="F5" s="11">
        <f t="shared" ref="F5:K5" si="2">IFERROR(AVERAGE(F10:F13),"")</f>
        <v>108661.75</v>
      </c>
      <c r="G5" s="10" t="str">
        <f t="shared" si="2"/>
        <v/>
      </c>
      <c r="H5" s="10">
        <f t="shared" si="2"/>
        <v>13.074999999999999</v>
      </c>
      <c r="I5" s="25">
        <f>IFERROR(AVERAGE(I10:I13),"")</f>
        <v>25.5</v>
      </c>
      <c r="J5" s="27">
        <f>IFERROR(AVERAGE(J10:J13),"")</f>
        <v>35.225000000000001</v>
      </c>
      <c r="K5" s="11">
        <f t="shared" si="2"/>
        <v>92439</v>
      </c>
      <c r="L5" s="10" t="str">
        <f>IFERROR(AVERAGE(L10:L13),"")</f>
        <v/>
      </c>
      <c r="M5" s="10">
        <f>IFERROR(AVERAGE(M10:M13),"")</f>
        <v>8.125</v>
      </c>
      <c r="N5" s="10">
        <f>IFERROR(AVERAGE(N10:N13),"")</f>
        <v>1716.0074999999997</v>
      </c>
      <c r="O5" s="10">
        <f>IFERROR(AVERAGE(O10:O13),"")</f>
        <v>280.3775</v>
      </c>
      <c r="P5" s="10">
        <f>IFERROR(AVERAGE(P10:P13),"")</f>
        <v>36.75</v>
      </c>
      <c r="Q5" s="3"/>
    </row>
    <row r="6" spans="1:23" x14ac:dyDescent="0.3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"/>
    </row>
    <row r="7" spans="1:23" x14ac:dyDescent="0.35">
      <c r="A7" s="23">
        <v>44087</v>
      </c>
      <c r="B7" s="13">
        <v>1434.8</v>
      </c>
      <c r="C7" s="13">
        <v>857.27</v>
      </c>
      <c r="D7" s="13">
        <v>58.5</v>
      </c>
      <c r="E7" s="13">
        <v>212.58</v>
      </c>
      <c r="F7" s="14">
        <v>78144</v>
      </c>
      <c r="G7" s="13"/>
      <c r="H7" s="13">
        <v>8.5</v>
      </c>
      <c r="I7" s="28">
        <v>27</v>
      </c>
      <c r="J7" s="31">
        <v>42.97</v>
      </c>
      <c r="K7" s="14">
        <v>109226</v>
      </c>
      <c r="L7" s="13"/>
      <c r="M7" s="13">
        <v>9</v>
      </c>
      <c r="N7" s="13">
        <v>1427.13</v>
      </c>
      <c r="O7" s="13">
        <v>389.09</v>
      </c>
      <c r="P7" s="13">
        <v>31</v>
      </c>
      <c r="Q7" s="3"/>
      <c r="R7" s="5"/>
    </row>
    <row r="8" spans="1:23" x14ac:dyDescent="0.35">
      <c r="A8" s="23">
        <v>44088</v>
      </c>
      <c r="B8" s="13">
        <v>1239.8800000000001</v>
      </c>
      <c r="C8" s="13">
        <v>807.64</v>
      </c>
      <c r="D8" s="13">
        <v>56.89</v>
      </c>
      <c r="E8" s="13">
        <v>238.19</v>
      </c>
      <c r="F8" s="14">
        <v>94609</v>
      </c>
      <c r="G8" s="13"/>
      <c r="H8" s="13">
        <v>10.9</v>
      </c>
      <c r="I8" s="28">
        <v>31</v>
      </c>
      <c r="J8" s="31">
        <v>41.33</v>
      </c>
      <c r="K8" s="14">
        <v>103522</v>
      </c>
      <c r="L8" s="13"/>
      <c r="M8" s="13">
        <v>8.4</v>
      </c>
      <c r="N8" s="13">
        <v>1894.77</v>
      </c>
      <c r="O8" s="13">
        <v>349.66</v>
      </c>
      <c r="P8" s="13">
        <v>34</v>
      </c>
      <c r="Q8" s="3"/>
      <c r="R8" s="3"/>
    </row>
    <row r="9" spans="1:23" x14ac:dyDescent="0.35">
      <c r="A9" s="23">
        <v>44089</v>
      </c>
      <c r="B9" s="13">
        <v>1636.13</v>
      </c>
      <c r="C9" s="13">
        <v>739.45</v>
      </c>
      <c r="D9" s="13">
        <v>48.2</v>
      </c>
      <c r="E9" s="13">
        <v>262.85000000000002</v>
      </c>
      <c r="F9" s="14">
        <v>105607</v>
      </c>
      <c r="G9" s="13"/>
      <c r="H9" s="13">
        <v>12.8</v>
      </c>
      <c r="I9" s="28">
        <v>33</v>
      </c>
      <c r="J9" s="31">
        <v>35.24</v>
      </c>
      <c r="K9" s="14">
        <v>92595</v>
      </c>
      <c r="L9" s="13"/>
      <c r="M9" s="13">
        <v>8.3000000000000007</v>
      </c>
      <c r="N9" s="13">
        <v>2103.94</v>
      </c>
      <c r="O9" s="13">
        <v>295.45</v>
      </c>
      <c r="P9" s="13">
        <v>42</v>
      </c>
      <c r="Q9" s="3"/>
      <c r="R9" s="3"/>
      <c r="S9" s="58"/>
      <c r="T9" s="58"/>
      <c r="U9" s="58"/>
      <c r="V9" s="58"/>
      <c r="W9" s="58"/>
    </row>
    <row r="10" spans="1:23" x14ac:dyDescent="0.35">
      <c r="A10" s="23">
        <v>44090</v>
      </c>
      <c r="B10" s="17">
        <v>1882.67</v>
      </c>
      <c r="C10" s="17">
        <v>779.64</v>
      </c>
      <c r="D10" s="17">
        <v>60.57</v>
      </c>
      <c r="E10" s="17">
        <v>202.43</v>
      </c>
      <c r="F10" s="18">
        <v>78816</v>
      </c>
      <c r="G10" s="17"/>
      <c r="H10" s="17">
        <v>9.1999999999999993</v>
      </c>
      <c r="I10" s="29">
        <v>22</v>
      </c>
      <c r="J10" s="32">
        <v>37.75</v>
      </c>
      <c r="K10" s="18">
        <v>66856</v>
      </c>
      <c r="L10" s="17"/>
      <c r="M10" s="17">
        <v>6.6</v>
      </c>
      <c r="N10" s="17">
        <v>1397.51</v>
      </c>
      <c r="O10" s="17">
        <v>252.55</v>
      </c>
      <c r="P10" s="17">
        <v>22</v>
      </c>
      <c r="Q10" s="3"/>
      <c r="R10" s="5"/>
    </row>
    <row r="11" spans="1:23" x14ac:dyDescent="0.35">
      <c r="A11" s="23">
        <v>44091</v>
      </c>
      <c r="B11" s="15">
        <v>2985.29</v>
      </c>
      <c r="C11" s="15">
        <v>1072.45</v>
      </c>
      <c r="D11" s="15">
        <v>70.17</v>
      </c>
      <c r="E11" s="15">
        <v>299.79000000000002</v>
      </c>
      <c r="F11" s="16">
        <v>120357</v>
      </c>
      <c r="G11" s="15"/>
      <c r="H11" s="15">
        <v>10.6</v>
      </c>
      <c r="I11" s="30">
        <v>25</v>
      </c>
      <c r="J11" s="33">
        <v>40.69</v>
      </c>
      <c r="K11" s="16">
        <v>79770</v>
      </c>
      <c r="L11" s="15"/>
      <c r="M11" s="15">
        <v>6.6</v>
      </c>
      <c r="N11" s="15">
        <v>1139.8499999999999</v>
      </c>
      <c r="O11" s="15">
        <v>272.2</v>
      </c>
      <c r="P11" s="15">
        <v>38</v>
      </c>
      <c r="Q11" s="3"/>
      <c r="R11" s="3"/>
    </row>
    <row r="12" spans="1:23" x14ac:dyDescent="0.35">
      <c r="A12" s="23">
        <v>44092</v>
      </c>
      <c r="B12" s="15">
        <v>2824.66</v>
      </c>
      <c r="C12" s="15">
        <v>678.36</v>
      </c>
      <c r="D12" s="15">
        <v>96.7</v>
      </c>
      <c r="E12" s="15">
        <v>264.70999999999998</v>
      </c>
      <c r="F12" s="16">
        <v>116456</v>
      </c>
      <c r="G12" s="15"/>
      <c r="H12" s="15">
        <v>16.7</v>
      </c>
      <c r="I12" s="30">
        <v>22</v>
      </c>
      <c r="J12" s="33">
        <v>33.770000000000003</v>
      </c>
      <c r="K12" s="16">
        <v>97671</v>
      </c>
      <c r="L12" s="15"/>
      <c r="M12" s="15">
        <v>7.8</v>
      </c>
      <c r="N12" s="15">
        <v>1675.27</v>
      </c>
      <c r="O12" s="15">
        <v>264.70999999999998</v>
      </c>
      <c r="P12" s="15">
        <v>44</v>
      </c>
      <c r="Q12" s="3"/>
      <c r="R12" s="3"/>
    </row>
    <row r="13" spans="1:23" x14ac:dyDescent="0.35">
      <c r="A13" s="23">
        <v>44093</v>
      </c>
      <c r="B13" s="15">
        <v>2745.79</v>
      </c>
      <c r="C13" s="15">
        <v>713.55</v>
      </c>
      <c r="D13" s="15">
        <v>58.18</v>
      </c>
      <c r="E13" s="15">
        <v>332.27</v>
      </c>
      <c r="F13" s="16">
        <v>119018</v>
      </c>
      <c r="G13" s="15"/>
      <c r="H13" s="15">
        <v>15.8</v>
      </c>
      <c r="I13" s="30">
        <v>33</v>
      </c>
      <c r="J13" s="33">
        <v>28.69</v>
      </c>
      <c r="K13" s="16">
        <v>125459</v>
      </c>
      <c r="L13" s="15"/>
      <c r="M13" s="15">
        <v>11.5</v>
      </c>
      <c r="N13" s="15">
        <v>2651.4</v>
      </c>
      <c r="O13" s="15">
        <v>332.05</v>
      </c>
      <c r="P13" s="15">
        <v>43</v>
      </c>
      <c r="Q13" s="3"/>
    </row>
    <row r="14" spans="1:23" x14ac:dyDescent="0.35">
      <c r="A14" s="4"/>
      <c r="B14" s="6"/>
      <c r="C14" s="6"/>
      <c r="D14" s="6"/>
      <c r="E14" s="6"/>
      <c r="F14" s="7"/>
      <c r="G14" s="6"/>
      <c r="H14" s="6"/>
      <c r="I14" s="6"/>
      <c r="J14" s="6"/>
      <c r="K14" s="7"/>
      <c r="L14" s="6"/>
      <c r="M14" s="6"/>
      <c r="N14" s="6"/>
      <c r="O14" s="6"/>
      <c r="P14" s="6"/>
      <c r="Q14" s="3"/>
      <c r="R14" s="8"/>
      <c r="U14" s="8"/>
    </row>
    <row r="15" spans="1:23" x14ac:dyDescent="0.35">
      <c r="A15" s="4" t="s">
        <v>3</v>
      </c>
      <c r="B15" s="20">
        <v>3451.6</v>
      </c>
      <c r="C15" s="20">
        <v>866.1</v>
      </c>
      <c r="D15" s="20">
        <v>68.7</v>
      </c>
      <c r="E15" s="20">
        <v>435.1</v>
      </c>
      <c r="F15" s="20">
        <v>142606.39999999999</v>
      </c>
      <c r="G15" s="20"/>
      <c r="H15" s="20">
        <v>15.3</v>
      </c>
      <c r="I15" s="34">
        <v>28</v>
      </c>
      <c r="J15" s="36">
        <v>29.3</v>
      </c>
      <c r="K15" s="20">
        <v>99238.399999999994</v>
      </c>
      <c r="L15" s="20"/>
      <c r="M15" s="20">
        <v>10.1</v>
      </c>
      <c r="N15" s="20">
        <v>2303.9</v>
      </c>
      <c r="O15" s="20">
        <v>310.7</v>
      </c>
      <c r="P15" s="20">
        <v>30.7</v>
      </c>
      <c r="Q15" s="3"/>
      <c r="R15" s="8"/>
      <c r="U15" s="8"/>
    </row>
    <row r="16" spans="1:23" x14ac:dyDescent="0.35">
      <c r="A16" s="4" t="s">
        <v>4</v>
      </c>
      <c r="B16" s="20">
        <f t="shared" ref="B16:N16" si="3">IFERROR(AVERAGE(B7:B13),"")</f>
        <v>2107.0314285714289</v>
      </c>
      <c r="C16" s="20">
        <f>IFERROR(AVERAGE(C7:C13),"")</f>
        <v>806.90857142857135</v>
      </c>
      <c r="D16" s="20">
        <f>IFERROR(AVERAGE(D7:D13),"")</f>
        <v>64.17285714285714</v>
      </c>
      <c r="E16" s="20">
        <f>IFERROR(AVERAGE(E7:E13),"")</f>
        <v>258.97428571428571</v>
      </c>
      <c r="F16" s="20">
        <f t="shared" si="3"/>
        <v>101858.14285714286</v>
      </c>
      <c r="G16" s="20" t="str">
        <f t="shared" si="3"/>
        <v/>
      </c>
      <c r="H16" s="20">
        <f t="shared" si="3"/>
        <v>12.071428571428571</v>
      </c>
      <c r="I16" s="34">
        <f t="shared" si="3"/>
        <v>27.571428571428573</v>
      </c>
      <c r="J16" s="36">
        <f>IFERROR(AVERAGE(J7:J13),"")</f>
        <v>37.205714285714286</v>
      </c>
      <c r="K16" s="20">
        <f>IFERROR(AVERAGE(K7:K13),"")</f>
        <v>96442.71428571429</v>
      </c>
      <c r="L16" s="20" t="str">
        <f>IFERROR(AVERAGE(L7:L13),"")</f>
        <v/>
      </c>
      <c r="M16" s="20">
        <f>IFERROR(AVERAGE(M7:M13),"")</f>
        <v>8.3142857142857132</v>
      </c>
      <c r="N16" s="20">
        <f t="shared" si="3"/>
        <v>1755.6957142857143</v>
      </c>
      <c r="O16" s="20">
        <f>IFERROR(AVERAGE(O7:O13),"")</f>
        <v>307.95857142857142</v>
      </c>
      <c r="P16" s="20">
        <f>IFERROR(AVERAGE(P7:P13),"")</f>
        <v>36.285714285714285</v>
      </c>
      <c r="Q16" s="3"/>
      <c r="R16" s="8"/>
      <c r="U16" s="8"/>
    </row>
    <row r="17" spans="1:21" ht="19.5" customHeight="1" x14ac:dyDescent="0.35">
      <c r="A17" s="4" t="s">
        <v>5</v>
      </c>
      <c r="B17" s="12">
        <f>IFERROR(-(B15-B16)/B15,"")</f>
        <v>-0.38954936013111918</v>
      </c>
      <c r="C17" s="12">
        <f>IFERROR(-(C15-C16)/C15,"")</f>
        <v>-6.834248767050996E-2</v>
      </c>
      <c r="D17" s="12">
        <f t="shared" ref="D17:N17" si="4">IFERROR(-(D15-D16)/D15,"")</f>
        <v>-6.5897275940944147E-2</v>
      </c>
      <c r="E17" s="12">
        <f t="shared" si="4"/>
        <v>-0.40479364349738978</v>
      </c>
      <c r="F17" s="12">
        <f>IFERROR(-(F15-F16)/F15,"")</f>
        <v>-0.28573932967143928</v>
      </c>
      <c r="G17" s="12" t="str">
        <f>IFERROR(-(G15-G16)/G15,"")</f>
        <v/>
      </c>
      <c r="H17" s="12">
        <f>IFERROR(-(H15-H16)/H15,"")</f>
        <v>-0.21101774042950519</v>
      </c>
      <c r="I17" s="35">
        <f>IFERROR(-(I15-I16)/I15,"")</f>
        <v>-1.5306122448979538E-2</v>
      </c>
      <c r="J17" s="37">
        <f>IFERROR(-(J15-J16)/J15,"")</f>
        <v>0.26981960019502682</v>
      </c>
      <c r="K17" s="12">
        <f t="shared" si="4"/>
        <v>-2.817141060603259E-2</v>
      </c>
      <c r="L17" s="12" t="str">
        <f>IFERROR(-(L15-L16)/L15,"")</f>
        <v/>
      </c>
      <c r="M17" s="12">
        <f>IFERROR(-(M15-M16)/M15,"")</f>
        <v>-0.17680339462517689</v>
      </c>
      <c r="N17" s="12">
        <f t="shared" si="4"/>
        <v>-0.2379462154235365</v>
      </c>
      <c r="O17" s="12">
        <f>IFERROR(-(O15-O16)/O15,"")</f>
        <v>-8.8233941790427147E-3</v>
      </c>
      <c r="P17" s="12">
        <f>IFERROR(-(P15-P16)/P15,"")</f>
        <v>0.181945090739879</v>
      </c>
      <c r="Q17" s="3"/>
      <c r="R17" s="8"/>
      <c r="U17" s="8"/>
    </row>
    <row r="18" spans="1:21" ht="15" customHeight="1" x14ac:dyDescent="0.35">
      <c r="R18" s="8"/>
      <c r="U18" s="8"/>
    </row>
    <row r="19" spans="1:21" x14ac:dyDescent="0.35">
      <c r="B19" s="2" t="s">
        <v>21</v>
      </c>
      <c r="R19" s="8"/>
      <c r="U19" s="8"/>
    </row>
    <row r="20" spans="1:21" x14ac:dyDescent="0.35">
      <c r="B20" s="19">
        <v>1434.8</v>
      </c>
      <c r="C20" s="19">
        <v>857.3</v>
      </c>
      <c r="D20" s="19">
        <v>58.5</v>
      </c>
      <c r="E20" s="19">
        <v>212.6</v>
      </c>
      <c r="F20" s="19">
        <v>78144</v>
      </c>
      <c r="G20" s="19">
        <v>26.8</v>
      </c>
      <c r="H20" s="19">
        <v>8.5</v>
      </c>
      <c r="I20" s="19">
        <v>29</v>
      </c>
      <c r="J20" s="19">
        <v>43</v>
      </c>
      <c r="K20" s="19">
        <v>110809</v>
      </c>
      <c r="L20" s="19">
        <v>29.4</v>
      </c>
      <c r="M20" s="19">
        <v>9.1</v>
      </c>
      <c r="N20" s="19">
        <v>1427.1</v>
      </c>
      <c r="O20" s="19">
        <v>262.8</v>
      </c>
      <c r="P20" s="19">
        <v>29</v>
      </c>
      <c r="R20" s="8"/>
      <c r="U20" s="8"/>
    </row>
    <row r="21" spans="1:21" x14ac:dyDescent="0.35">
      <c r="B21" s="19">
        <v>1239.9000000000001</v>
      </c>
      <c r="C21" s="19">
        <v>807.6</v>
      </c>
      <c r="D21" s="19">
        <v>56.9</v>
      </c>
      <c r="E21" s="19">
        <v>238.2</v>
      </c>
      <c r="F21" s="19">
        <v>94609</v>
      </c>
      <c r="G21" s="19">
        <v>23</v>
      </c>
      <c r="H21" s="19">
        <v>10.9</v>
      </c>
      <c r="I21" s="19">
        <v>31.6</v>
      </c>
      <c r="J21" s="19">
        <v>41.3</v>
      </c>
      <c r="K21" s="19">
        <v>103110</v>
      </c>
      <c r="L21" s="19">
        <v>32.6</v>
      </c>
      <c r="M21" s="19">
        <v>8.5</v>
      </c>
      <c r="N21" s="19">
        <v>1894.8</v>
      </c>
      <c r="O21" s="19">
        <v>277.2</v>
      </c>
      <c r="P21" s="19">
        <v>34.799999999999997</v>
      </c>
    </row>
    <row r="22" spans="1:21" x14ac:dyDescent="0.35">
      <c r="B22" s="19">
        <v>1636.1</v>
      </c>
      <c r="C22" s="19">
        <v>739.5</v>
      </c>
      <c r="D22" s="19">
        <v>48.2</v>
      </c>
      <c r="E22" s="19">
        <v>262.8</v>
      </c>
      <c r="F22" s="19">
        <v>103607</v>
      </c>
      <c r="G22" s="19">
        <v>20.399999999999999</v>
      </c>
      <c r="H22" s="19">
        <v>12.8</v>
      </c>
      <c r="I22" s="19">
        <v>33.299999999999997</v>
      </c>
      <c r="J22" s="19">
        <v>34.6</v>
      </c>
      <c r="K22" s="19">
        <v>84920</v>
      </c>
      <c r="L22" s="19">
        <v>27.2</v>
      </c>
      <c r="M22" s="19">
        <v>8.4</v>
      </c>
      <c r="N22" s="19">
        <v>2103.9</v>
      </c>
      <c r="O22" s="19">
        <v>248.5</v>
      </c>
      <c r="P22" s="19">
        <v>42</v>
      </c>
    </row>
    <row r="23" spans="1:21" x14ac:dyDescent="0.35">
      <c r="B23" s="19">
        <v>1882.7</v>
      </c>
      <c r="C23" s="19">
        <v>779.6</v>
      </c>
      <c r="D23" s="19">
        <v>60.6</v>
      </c>
      <c r="E23" s="19">
        <v>208.5</v>
      </c>
      <c r="F23" s="19">
        <v>78816</v>
      </c>
      <c r="G23" s="19">
        <v>23.2</v>
      </c>
      <c r="H23" s="19">
        <v>9.3000000000000007</v>
      </c>
      <c r="I23" s="19">
        <v>22.6</v>
      </c>
      <c r="J23" s="19">
        <v>37.799999999999997</v>
      </c>
      <c r="K23" s="19">
        <v>67329</v>
      </c>
      <c r="L23" s="19">
        <v>27.1</v>
      </c>
      <c r="M23" s="19">
        <v>6.7</v>
      </c>
      <c r="N23" s="19">
        <v>1397.5</v>
      </c>
      <c r="O23" s="19">
        <v>179.7</v>
      </c>
      <c r="P23" s="19">
        <v>34.9</v>
      </c>
    </row>
    <row r="24" spans="1:21" x14ac:dyDescent="0.35">
      <c r="B24" s="19">
        <v>2985.3</v>
      </c>
      <c r="C24" s="19">
        <v>1072.5</v>
      </c>
      <c r="D24" s="19">
        <v>70.2</v>
      </c>
      <c r="E24" s="19">
        <v>308.7</v>
      </c>
      <c r="F24" s="19">
        <v>120357</v>
      </c>
      <c r="G24" s="19">
        <v>28.6</v>
      </c>
      <c r="H24" s="19">
        <v>10.7</v>
      </c>
      <c r="I24" s="19">
        <v>25.4</v>
      </c>
      <c r="J24" s="19">
        <v>40.700000000000003</v>
      </c>
      <c r="K24" s="19">
        <v>78837</v>
      </c>
      <c r="L24" s="19">
        <v>27.2</v>
      </c>
      <c r="M24" s="19">
        <v>6.7</v>
      </c>
      <c r="N24" s="19">
        <v>1139.8</v>
      </c>
      <c r="O24" s="19">
        <v>184.2</v>
      </c>
      <c r="P24" s="19">
        <v>38.5</v>
      </c>
    </row>
    <row r="25" spans="1:21" x14ac:dyDescent="0.35">
      <c r="B25" s="19">
        <v>2824.7</v>
      </c>
      <c r="C25" s="19">
        <v>678.4</v>
      </c>
      <c r="D25" s="19">
        <v>97</v>
      </c>
      <c r="E25" s="19">
        <v>411</v>
      </c>
      <c r="F25" s="19">
        <v>116456</v>
      </c>
      <c r="G25" s="19">
        <v>27.3</v>
      </c>
      <c r="H25" s="19">
        <v>16.7</v>
      </c>
      <c r="I25" s="19">
        <v>22.1</v>
      </c>
      <c r="J25" s="19">
        <v>33.799999999999997</v>
      </c>
      <c r="K25" s="19">
        <v>95447</v>
      </c>
      <c r="L25" s="19">
        <v>24.8</v>
      </c>
      <c r="M25" s="19">
        <v>7.8</v>
      </c>
      <c r="N25" s="19">
        <v>1675.3</v>
      </c>
      <c r="O25" s="19">
        <v>199.1</v>
      </c>
      <c r="P25" s="19">
        <v>44.7</v>
      </c>
    </row>
    <row r="26" spans="1:21" x14ac:dyDescent="0.35">
      <c r="B26" s="19">
        <v>2745.8</v>
      </c>
      <c r="C26" s="19">
        <v>713.5</v>
      </c>
      <c r="D26" s="19">
        <v>58.2</v>
      </c>
      <c r="E26" s="19">
        <v>332.3</v>
      </c>
      <c r="F26" s="19">
        <v>119018</v>
      </c>
      <c r="G26" s="19">
        <v>22.1</v>
      </c>
      <c r="H26" s="19">
        <v>15.8</v>
      </c>
      <c r="I26" s="19">
        <v>33.4</v>
      </c>
      <c r="J26" s="19">
        <v>28.7</v>
      </c>
      <c r="K26" s="19">
        <v>113870</v>
      </c>
      <c r="L26" s="19">
        <v>19</v>
      </c>
      <c r="M26" s="19">
        <v>11.6</v>
      </c>
      <c r="N26" s="19">
        <v>2651.4</v>
      </c>
      <c r="O26" s="19">
        <v>242.3</v>
      </c>
      <c r="P26" s="19">
        <v>43.5</v>
      </c>
    </row>
    <row r="29" spans="1:21" x14ac:dyDescent="0.35">
      <c r="B29" s="2" t="s">
        <v>22</v>
      </c>
    </row>
    <row r="30" spans="1:21" x14ac:dyDescent="0.35">
      <c r="B30" s="13">
        <v>1434.8</v>
      </c>
      <c r="C30" s="13">
        <v>857.27</v>
      </c>
      <c r="D30" s="13">
        <v>58.5</v>
      </c>
      <c r="E30" s="13">
        <v>212.58</v>
      </c>
      <c r="F30" s="14">
        <v>78144</v>
      </c>
      <c r="G30" s="13"/>
      <c r="H30" s="13">
        <v>8.5</v>
      </c>
      <c r="I30" s="44">
        <v>27</v>
      </c>
      <c r="J30" s="31">
        <v>42.97</v>
      </c>
      <c r="K30" s="43">
        <v>109226</v>
      </c>
      <c r="L30" s="13"/>
      <c r="M30" s="13">
        <v>9</v>
      </c>
      <c r="N30" s="13">
        <v>1427.13</v>
      </c>
      <c r="O30" s="42">
        <v>389.09</v>
      </c>
      <c r="P30" s="42">
        <v>31</v>
      </c>
    </row>
    <row r="31" spans="1:21" x14ac:dyDescent="0.35">
      <c r="B31" s="13">
        <v>1239.8800000000001</v>
      </c>
      <c r="C31" s="13">
        <v>807.64</v>
      </c>
      <c r="D31" s="13">
        <v>56.89</v>
      </c>
      <c r="E31" s="13">
        <v>238.19</v>
      </c>
      <c r="F31" s="14">
        <v>94609</v>
      </c>
      <c r="G31" s="13"/>
      <c r="H31" s="13">
        <v>10.9</v>
      </c>
      <c r="I31" s="28">
        <v>31</v>
      </c>
      <c r="J31" s="31">
        <v>41.33</v>
      </c>
      <c r="K31" s="14">
        <v>103522</v>
      </c>
      <c r="L31" s="13"/>
      <c r="M31" s="13">
        <v>8.4</v>
      </c>
      <c r="N31" s="13">
        <v>1894.77</v>
      </c>
      <c r="O31" s="42">
        <v>349.66</v>
      </c>
      <c r="P31" s="13">
        <v>34</v>
      </c>
    </row>
    <row r="32" spans="1:21" x14ac:dyDescent="0.35">
      <c r="B32" s="13">
        <v>1636.13</v>
      </c>
      <c r="C32" s="13">
        <v>739.45</v>
      </c>
      <c r="D32" s="13">
        <v>48.2</v>
      </c>
      <c r="E32" s="13">
        <v>262.85000000000002</v>
      </c>
      <c r="F32" s="43">
        <v>105607</v>
      </c>
      <c r="G32" s="13"/>
      <c r="H32" s="13">
        <v>12.8</v>
      </c>
      <c r="I32" s="28">
        <v>33</v>
      </c>
      <c r="J32" s="45">
        <v>35.24</v>
      </c>
      <c r="K32" s="43">
        <v>92595</v>
      </c>
      <c r="L32" s="13"/>
      <c r="M32" s="13">
        <v>8.3000000000000007</v>
      </c>
      <c r="N32" s="13">
        <v>2103.94</v>
      </c>
      <c r="O32" s="42">
        <v>295.45</v>
      </c>
      <c r="P32" s="13">
        <v>42</v>
      </c>
    </row>
    <row r="33" spans="2:16" x14ac:dyDescent="0.35">
      <c r="B33" s="17">
        <v>1882.67</v>
      </c>
      <c r="C33" s="17">
        <v>779.64</v>
      </c>
      <c r="D33" s="17">
        <v>60.57</v>
      </c>
      <c r="E33" s="42">
        <v>202.43</v>
      </c>
      <c r="F33" s="18">
        <v>78816</v>
      </c>
      <c r="G33" s="17"/>
      <c r="H33" s="17">
        <v>9.1999999999999993</v>
      </c>
      <c r="I33" s="29">
        <v>22</v>
      </c>
      <c r="J33" s="32">
        <v>37.75</v>
      </c>
      <c r="K33" s="43">
        <v>66856</v>
      </c>
      <c r="L33" s="17"/>
      <c r="M33" s="17">
        <v>6.6</v>
      </c>
      <c r="N33" s="17">
        <v>1397.51</v>
      </c>
      <c r="O33" s="42">
        <v>252.55</v>
      </c>
      <c r="P33" s="42">
        <v>22</v>
      </c>
    </row>
    <row r="34" spans="2:16" x14ac:dyDescent="0.35">
      <c r="B34" s="15">
        <v>2985.29</v>
      </c>
      <c r="C34" s="15">
        <v>1072.45</v>
      </c>
      <c r="D34" s="15">
        <v>70.17</v>
      </c>
      <c r="E34" s="42">
        <v>299.79000000000002</v>
      </c>
      <c r="F34" s="16">
        <v>120357</v>
      </c>
      <c r="G34" s="15"/>
      <c r="H34" s="15">
        <v>10.6</v>
      </c>
      <c r="I34" s="30">
        <v>25</v>
      </c>
      <c r="J34" s="33">
        <v>40.69</v>
      </c>
      <c r="K34" s="43">
        <v>79770</v>
      </c>
      <c r="L34" s="15"/>
      <c r="M34" s="15">
        <v>6.6</v>
      </c>
      <c r="N34" s="15">
        <v>1139.8499999999999</v>
      </c>
      <c r="O34" s="42">
        <v>272.2</v>
      </c>
      <c r="P34" s="15">
        <v>38</v>
      </c>
    </row>
    <row r="35" spans="2:16" x14ac:dyDescent="0.35">
      <c r="B35" s="15">
        <v>2824.66</v>
      </c>
      <c r="C35" s="15">
        <v>678.36</v>
      </c>
      <c r="D35" s="15">
        <v>96.7</v>
      </c>
      <c r="E35" s="42">
        <v>264.70999999999998</v>
      </c>
      <c r="F35" s="16">
        <v>116456</v>
      </c>
      <c r="G35" s="15"/>
      <c r="H35" s="15">
        <v>16.7</v>
      </c>
      <c r="I35" s="30">
        <v>22</v>
      </c>
      <c r="J35" s="33">
        <v>33.770000000000003</v>
      </c>
      <c r="K35" s="43">
        <v>97671</v>
      </c>
      <c r="L35" s="15"/>
      <c r="M35" s="15">
        <v>7.8</v>
      </c>
      <c r="N35" s="15">
        <v>1675.27</v>
      </c>
      <c r="O35" s="42">
        <v>264.70999999999998</v>
      </c>
      <c r="P35" s="15">
        <v>44</v>
      </c>
    </row>
    <row r="36" spans="2:16" x14ac:dyDescent="0.35">
      <c r="B36" s="15">
        <v>2745.79</v>
      </c>
      <c r="C36" s="15">
        <v>713.55</v>
      </c>
      <c r="D36" s="15">
        <v>58.18</v>
      </c>
      <c r="E36" s="15">
        <v>332.27</v>
      </c>
      <c r="F36" s="16">
        <v>119018</v>
      </c>
      <c r="G36" s="15"/>
      <c r="H36" s="15">
        <v>15.8</v>
      </c>
      <c r="I36" s="30">
        <v>33</v>
      </c>
      <c r="J36" s="33">
        <v>28.69</v>
      </c>
      <c r="K36" s="43">
        <v>125459</v>
      </c>
      <c r="L36" s="15"/>
      <c r="M36" s="15">
        <v>11.5</v>
      </c>
      <c r="N36" s="15">
        <v>2651.4</v>
      </c>
      <c r="O36" s="42">
        <v>332.05</v>
      </c>
      <c r="P36" s="15">
        <v>43</v>
      </c>
    </row>
    <row r="39" spans="2:16" x14ac:dyDescent="0.35">
      <c r="B39" s="46" t="s">
        <v>23</v>
      </c>
      <c r="C39" s="47">
        <f>21/(7*15)</f>
        <v>0.2</v>
      </c>
    </row>
  </sheetData>
  <mergeCells count="5">
    <mergeCell ref="B1:I1"/>
    <mergeCell ref="J1:P1"/>
    <mergeCell ref="S1:V1"/>
    <mergeCell ref="S9:W9"/>
    <mergeCell ref="A6:Q6"/>
  </mergeCells>
  <conditionalFormatting sqref="C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D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M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:N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:P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C5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4:K5">
    <cfRule type="colorScale" priority="34">
      <colorScale>
        <cfvo type="min"/>
        <cfvo type="percentile" val="50"/>
        <cfvo type="max"/>
        <color rgb="FFF8696B"/>
        <color rgb="FFFCFCFF"/>
        <color rgb="FF00B050"/>
      </colorScale>
    </cfRule>
  </conditionalFormatting>
  <conditionalFormatting sqref="H4:H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E5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P17">
    <cfRule type="colorScale" priority="3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70" zoomScaleNormal="70" workbookViewId="0">
      <selection activeCell="A2" sqref="A2"/>
    </sheetView>
  </sheetViews>
  <sheetFormatPr defaultColWidth="9.1796875" defaultRowHeight="14.5" x14ac:dyDescent="0.35"/>
  <cols>
    <col min="1" max="1" width="25.453125" style="3" bestFit="1" customWidth="1"/>
    <col min="2" max="2" width="14.81640625" style="2" bestFit="1" customWidth="1"/>
    <col min="3" max="3" width="12.1796875" style="2" bestFit="1" customWidth="1"/>
    <col min="4" max="4" width="8.81640625" style="2" customWidth="1"/>
    <col min="5" max="5" width="10.26953125" style="2" customWidth="1"/>
    <col min="6" max="6" width="19.453125" style="2" customWidth="1"/>
    <col min="7" max="7" width="9.7265625" style="2" customWidth="1"/>
    <col min="8" max="8" width="7.453125" style="2" customWidth="1"/>
    <col min="9" max="9" width="8.453125" style="2" customWidth="1"/>
    <col min="10" max="10" width="11" style="2" customWidth="1"/>
    <col min="11" max="11" width="14.26953125" style="2" customWidth="1"/>
    <col min="12" max="12" width="10" style="2" customWidth="1"/>
    <col min="13" max="13" width="7.26953125" style="2" customWidth="1"/>
    <col min="14" max="14" width="10.1796875" style="2" customWidth="1"/>
    <col min="15" max="15" width="11.453125" style="2" customWidth="1"/>
    <col min="16" max="16" width="8.26953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S1" s="58"/>
      <c r="T1" s="58"/>
      <c r="U1" s="58"/>
      <c r="V1" s="58"/>
    </row>
    <row r="3" spans="1:23" ht="16" x14ac:dyDescent="0.4">
      <c r="Q3" s="52" t="s">
        <v>30</v>
      </c>
    </row>
    <row r="4" spans="1:23" x14ac:dyDescent="0.35">
      <c r="B4" s="2" t="s">
        <v>26</v>
      </c>
      <c r="F4" s="2" t="s">
        <v>24</v>
      </c>
    </row>
    <row r="5" spans="1:23" x14ac:dyDescent="0.35">
      <c r="B5" s="61" t="s">
        <v>27</v>
      </c>
      <c r="C5" s="61"/>
      <c r="D5" s="61"/>
    </row>
    <row r="7" spans="1:23" x14ac:dyDescent="0.35">
      <c r="A7" s="1"/>
      <c r="B7" s="53" t="s">
        <v>12</v>
      </c>
      <c r="C7" s="54"/>
      <c r="D7" s="54"/>
      <c r="E7" s="54"/>
      <c r="F7" s="54"/>
      <c r="G7" s="54"/>
      <c r="H7" s="54"/>
      <c r="I7" s="54"/>
      <c r="J7" s="55" t="s">
        <v>13</v>
      </c>
      <c r="K7" s="56"/>
      <c r="L7" s="56"/>
      <c r="M7" s="56"/>
      <c r="N7" s="56"/>
      <c r="O7" s="56"/>
      <c r="P7" s="57"/>
      <c r="R7" s="3"/>
    </row>
    <row r="8" spans="1:23" x14ac:dyDescent="0.35">
      <c r="A8" s="1"/>
      <c r="B8" s="9" t="s">
        <v>6</v>
      </c>
      <c r="C8" s="9" t="s">
        <v>7</v>
      </c>
      <c r="D8" s="9" t="s">
        <v>8</v>
      </c>
      <c r="E8" s="9" t="s">
        <v>10</v>
      </c>
      <c r="F8" s="9" t="s">
        <v>16</v>
      </c>
      <c r="G8" s="9" t="s">
        <v>19</v>
      </c>
      <c r="H8" s="9" t="s">
        <v>14</v>
      </c>
      <c r="I8" s="24" t="s">
        <v>17</v>
      </c>
      <c r="J8" s="26" t="s">
        <v>18</v>
      </c>
      <c r="K8" s="9" t="s">
        <v>15</v>
      </c>
      <c r="L8" s="9" t="s">
        <v>20</v>
      </c>
      <c r="M8" s="9" t="s">
        <v>14</v>
      </c>
      <c r="N8" s="9" t="s">
        <v>9</v>
      </c>
      <c r="O8" s="9" t="s">
        <v>11</v>
      </c>
      <c r="P8" s="9" t="s">
        <v>17</v>
      </c>
      <c r="Q8" s="3"/>
      <c r="R8" s="5"/>
    </row>
    <row r="9" spans="1:23" x14ac:dyDescent="0.35">
      <c r="A9" s="4" t="s">
        <v>0</v>
      </c>
      <c r="B9" s="21">
        <v>995</v>
      </c>
      <c r="C9" s="21">
        <v>475</v>
      </c>
      <c r="D9" s="21">
        <v>85</v>
      </c>
      <c r="E9" s="21">
        <v>250</v>
      </c>
      <c r="F9" s="21"/>
      <c r="G9" s="21">
        <v>40</v>
      </c>
      <c r="H9" s="21">
        <v>9</v>
      </c>
      <c r="I9" s="38">
        <v>0.1</v>
      </c>
      <c r="J9" s="39">
        <v>0</v>
      </c>
      <c r="K9" s="21"/>
      <c r="L9" s="21">
        <v>30</v>
      </c>
      <c r="M9" s="21">
        <v>9</v>
      </c>
      <c r="N9" s="21">
        <v>1400</v>
      </c>
      <c r="O9" s="21">
        <v>200</v>
      </c>
      <c r="P9" s="22">
        <v>0.1</v>
      </c>
      <c r="Q9" s="3"/>
      <c r="R9" s="3"/>
      <c r="S9" s="58"/>
      <c r="T9" s="58"/>
      <c r="U9" s="58"/>
      <c r="V9" s="58"/>
      <c r="W9" s="58"/>
    </row>
    <row r="10" spans="1:23" x14ac:dyDescent="0.35">
      <c r="A10" s="4" t="s">
        <v>1</v>
      </c>
      <c r="B10" s="10" t="str">
        <f>IFERROR(AVERAGE(B$14:B$17),"")</f>
        <v/>
      </c>
      <c r="C10" s="10" t="str">
        <f t="shared" ref="C10:P10" si="0">IFERROR(AVERAGE(C$14:C$17),"")</f>
        <v/>
      </c>
      <c r="D10" s="10" t="str">
        <f t="shared" si="0"/>
        <v/>
      </c>
      <c r="E10" s="10" t="str">
        <f t="shared" si="0"/>
        <v/>
      </c>
      <c r="F10" s="10" t="str">
        <f t="shared" si="0"/>
        <v/>
      </c>
      <c r="G10" s="10" t="str">
        <f t="shared" si="0"/>
        <v/>
      </c>
      <c r="H10" s="10" t="str">
        <f t="shared" si="0"/>
        <v/>
      </c>
      <c r="I10" s="25" t="str">
        <f t="shared" si="0"/>
        <v/>
      </c>
      <c r="J10" s="27" t="str">
        <f t="shared" si="0"/>
        <v/>
      </c>
      <c r="K10" s="10" t="str">
        <f t="shared" si="0"/>
        <v/>
      </c>
      <c r="L10" s="10" t="str">
        <f t="shared" si="0"/>
        <v/>
      </c>
      <c r="M10" s="10" t="str">
        <f t="shared" si="0"/>
        <v/>
      </c>
      <c r="N10" s="10" t="str">
        <f t="shared" si="0"/>
        <v/>
      </c>
      <c r="O10" s="10" t="str">
        <f t="shared" si="0"/>
        <v/>
      </c>
      <c r="P10" s="10" t="str">
        <f t="shared" si="0"/>
        <v/>
      </c>
      <c r="Q10" s="3"/>
      <c r="R10" s="3"/>
    </row>
    <row r="11" spans="1:23" x14ac:dyDescent="0.35">
      <c r="A11" s="4" t="s">
        <v>2</v>
      </c>
      <c r="B11" s="10" t="str">
        <f t="shared" ref="B11:P11" si="1">IFERROR(AVERAGE(B$18:B$20),"")</f>
        <v/>
      </c>
      <c r="C11" s="10" t="str">
        <f t="shared" si="1"/>
        <v/>
      </c>
      <c r="D11" s="10" t="str">
        <f t="shared" si="1"/>
        <v/>
      </c>
      <c r="E11" s="10" t="str">
        <f t="shared" si="1"/>
        <v/>
      </c>
      <c r="F11" s="10" t="str">
        <f t="shared" si="1"/>
        <v/>
      </c>
      <c r="G11" s="10" t="str">
        <f t="shared" si="1"/>
        <v/>
      </c>
      <c r="H11" s="10" t="str">
        <f t="shared" si="1"/>
        <v/>
      </c>
      <c r="I11" s="25" t="str">
        <f t="shared" si="1"/>
        <v/>
      </c>
      <c r="J11" s="27" t="str">
        <f t="shared" si="1"/>
        <v/>
      </c>
      <c r="K11" s="10" t="str">
        <f t="shared" si="1"/>
        <v/>
      </c>
      <c r="L11" s="10" t="str">
        <f t="shared" si="1"/>
        <v/>
      </c>
      <c r="M11" s="10" t="str">
        <f t="shared" si="1"/>
        <v/>
      </c>
      <c r="N11" s="10" t="str">
        <f t="shared" si="1"/>
        <v/>
      </c>
      <c r="O11" s="10" t="str">
        <f t="shared" si="1"/>
        <v/>
      </c>
      <c r="P11" s="10" t="str">
        <f t="shared" si="1"/>
        <v/>
      </c>
      <c r="Q11" s="3"/>
      <c r="R11" s="5"/>
      <c r="S11" s="48"/>
    </row>
    <row r="12" spans="1:23" x14ac:dyDescent="0.35">
      <c r="A12" s="4" t="s">
        <v>25</v>
      </c>
      <c r="B12" s="20" t="str">
        <f t="shared" ref="B12:P12" si="2">IFERROR(ABS(B$10-B$11), "")</f>
        <v/>
      </c>
      <c r="C12" s="20" t="str">
        <f t="shared" si="2"/>
        <v/>
      </c>
      <c r="D12" s="20" t="str">
        <f t="shared" si="2"/>
        <v/>
      </c>
      <c r="E12" s="20" t="str">
        <f t="shared" si="2"/>
        <v/>
      </c>
      <c r="F12" s="20" t="str">
        <f t="shared" si="2"/>
        <v/>
      </c>
      <c r="G12" s="20" t="str">
        <f t="shared" si="2"/>
        <v/>
      </c>
      <c r="H12" s="20" t="str">
        <f t="shared" si="2"/>
        <v/>
      </c>
      <c r="I12" s="34" t="str">
        <f t="shared" si="2"/>
        <v/>
      </c>
      <c r="J12" s="36" t="str">
        <f t="shared" si="2"/>
        <v/>
      </c>
      <c r="K12" s="20" t="str">
        <f t="shared" si="2"/>
        <v/>
      </c>
      <c r="L12" s="20" t="str">
        <f t="shared" si="2"/>
        <v/>
      </c>
      <c r="M12" s="20" t="str">
        <f t="shared" si="2"/>
        <v/>
      </c>
      <c r="N12" s="20" t="str">
        <f t="shared" si="2"/>
        <v/>
      </c>
      <c r="O12" s="20" t="str">
        <f t="shared" si="2"/>
        <v/>
      </c>
      <c r="P12" s="20" t="str">
        <f t="shared" si="2"/>
        <v/>
      </c>
      <c r="Q12" s="41"/>
      <c r="R12" s="3"/>
    </row>
    <row r="13" spans="1:23" x14ac:dyDescent="0.3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3"/>
    </row>
    <row r="14" spans="1:23" x14ac:dyDescent="0.35">
      <c r="A14" s="23"/>
      <c r="B14" s="13"/>
      <c r="C14" s="13"/>
      <c r="D14" s="13"/>
      <c r="E14" s="13"/>
      <c r="F14" s="14"/>
      <c r="G14" s="13"/>
      <c r="H14" s="13"/>
      <c r="I14" s="28"/>
      <c r="J14" s="31"/>
      <c r="K14" s="14"/>
      <c r="L14" s="13"/>
      <c r="M14" s="13"/>
      <c r="N14" s="13"/>
      <c r="O14" s="13"/>
      <c r="P14" s="13"/>
      <c r="Q14" s="3"/>
      <c r="U14" s="8"/>
    </row>
    <row r="15" spans="1:23" x14ac:dyDescent="0.35">
      <c r="A15" s="23"/>
      <c r="B15" s="13"/>
      <c r="C15" s="13"/>
      <c r="D15" s="13"/>
      <c r="E15" s="13"/>
      <c r="F15" s="14"/>
      <c r="G15" s="13"/>
      <c r="H15" s="13"/>
      <c r="I15" s="28"/>
      <c r="J15" s="31"/>
      <c r="K15" s="14"/>
      <c r="L15" s="13"/>
      <c r="M15" s="13"/>
      <c r="N15" s="13"/>
      <c r="O15" s="13"/>
      <c r="P15" s="13"/>
      <c r="Q15" s="3"/>
      <c r="R15" s="8"/>
      <c r="U15" s="8"/>
    </row>
    <row r="16" spans="1:23" x14ac:dyDescent="0.35">
      <c r="A16" s="23"/>
      <c r="B16" s="13"/>
      <c r="C16" s="13"/>
      <c r="D16" s="13"/>
      <c r="E16" s="13"/>
      <c r="F16" s="14"/>
      <c r="G16" s="13"/>
      <c r="H16" s="13"/>
      <c r="I16" s="28"/>
      <c r="J16" s="31"/>
      <c r="K16" s="14"/>
      <c r="L16" s="13"/>
      <c r="M16" s="13"/>
      <c r="N16" s="13"/>
      <c r="O16" s="13"/>
      <c r="P16" s="13"/>
      <c r="Q16" s="3"/>
      <c r="R16" s="8"/>
      <c r="U16" s="8"/>
    </row>
    <row r="17" spans="1:21" ht="15.75" customHeight="1" x14ac:dyDescent="0.35">
      <c r="A17" s="23"/>
      <c r="B17" s="17"/>
      <c r="C17" s="17"/>
      <c r="D17" s="17"/>
      <c r="E17" s="17"/>
      <c r="F17" s="18"/>
      <c r="G17" s="17"/>
      <c r="H17" s="17"/>
      <c r="I17" s="29"/>
      <c r="J17" s="32"/>
      <c r="K17" s="18"/>
      <c r="L17" s="17"/>
      <c r="M17" s="17"/>
      <c r="N17" s="17"/>
      <c r="O17" s="17"/>
      <c r="P17" s="17"/>
      <c r="Q17" s="3"/>
      <c r="R17" s="8"/>
      <c r="U17" s="8"/>
    </row>
    <row r="18" spans="1:21" ht="15" customHeight="1" x14ac:dyDescent="0.35">
      <c r="A18" s="23"/>
      <c r="B18" s="15"/>
      <c r="C18" s="15"/>
      <c r="D18" s="15"/>
      <c r="E18" s="15"/>
      <c r="F18" s="16"/>
      <c r="G18" s="15"/>
      <c r="H18" s="15"/>
      <c r="I18" s="30"/>
      <c r="J18" s="33"/>
      <c r="K18" s="16"/>
      <c r="L18" s="15"/>
      <c r="M18" s="15"/>
      <c r="N18" s="15"/>
      <c r="O18" s="15"/>
      <c r="P18" s="15"/>
      <c r="Q18" s="3"/>
      <c r="R18" s="8"/>
      <c r="U18" s="8"/>
    </row>
    <row r="19" spans="1:21" x14ac:dyDescent="0.35">
      <c r="A19" s="23"/>
      <c r="B19" s="15"/>
      <c r="C19" s="15"/>
      <c r="D19" s="15"/>
      <c r="E19" s="15"/>
      <c r="F19" s="16"/>
      <c r="G19" s="15"/>
      <c r="H19" s="15"/>
      <c r="I19" s="30"/>
      <c r="J19" s="33"/>
      <c r="K19" s="16"/>
      <c r="L19" s="15"/>
      <c r="M19" s="15"/>
      <c r="N19" s="15"/>
      <c r="O19" s="15"/>
      <c r="P19" s="15"/>
      <c r="Q19" s="3"/>
      <c r="R19" s="8"/>
      <c r="U19" s="8"/>
    </row>
    <row r="20" spans="1:21" x14ac:dyDescent="0.35">
      <c r="A20" s="23"/>
      <c r="B20" s="15"/>
      <c r="C20" s="15"/>
      <c r="D20" s="15"/>
      <c r="E20" s="15"/>
      <c r="F20" s="16"/>
      <c r="G20" s="15"/>
      <c r="H20" s="15"/>
      <c r="I20" s="30"/>
      <c r="J20" s="33"/>
      <c r="K20" s="16"/>
      <c r="L20" s="15"/>
      <c r="M20" s="15"/>
      <c r="N20" s="15"/>
      <c r="O20" s="15"/>
      <c r="P20" s="15"/>
      <c r="Q20" s="3"/>
      <c r="R20" s="8"/>
      <c r="U20" s="8"/>
    </row>
    <row r="21" spans="1:21" x14ac:dyDescent="0.35">
      <c r="A21" s="4"/>
      <c r="B21" s="41"/>
      <c r="C21" s="41"/>
      <c r="D21" s="41"/>
      <c r="E21" s="41"/>
      <c r="F21" s="7"/>
      <c r="G21" s="41"/>
      <c r="H21" s="41"/>
      <c r="I21" s="41"/>
      <c r="J21" s="41"/>
      <c r="K21" s="7"/>
      <c r="L21" s="41"/>
      <c r="M21" s="41"/>
      <c r="N21" s="41"/>
      <c r="O21" s="41"/>
      <c r="P21" s="41"/>
      <c r="Q21" s="3"/>
      <c r="R21" s="8"/>
    </row>
    <row r="22" spans="1:21" x14ac:dyDescent="0.35">
      <c r="A22" s="4" t="s">
        <v>3</v>
      </c>
      <c r="B22" s="20"/>
      <c r="C22" s="20"/>
      <c r="D22" s="20"/>
      <c r="E22" s="20"/>
      <c r="F22" s="20"/>
      <c r="G22" s="20"/>
      <c r="H22" s="20"/>
      <c r="I22" s="34"/>
      <c r="J22" s="36"/>
      <c r="K22" s="20"/>
      <c r="L22" s="20"/>
      <c r="M22" s="20"/>
      <c r="N22" s="20"/>
      <c r="O22" s="20"/>
      <c r="P22" s="20"/>
      <c r="Q22" s="3"/>
    </row>
    <row r="23" spans="1:21" x14ac:dyDescent="0.35">
      <c r="A23" s="4" t="s">
        <v>4</v>
      </c>
      <c r="B23" s="20" t="str">
        <f t="shared" ref="B23:N23" si="3">IFERROR(AVERAGE(B14:B20),"")</f>
        <v/>
      </c>
      <c r="C23" s="20" t="str">
        <f>IFERROR(AVERAGE(C14:C20),"")</f>
        <v/>
      </c>
      <c r="D23" s="20" t="str">
        <f>IFERROR(AVERAGE(D14:D20),"")</f>
        <v/>
      </c>
      <c r="E23" s="20" t="str">
        <f>IFERROR(AVERAGE(E14:E20),"")</f>
        <v/>
      </c>
      <c r="F23" s="20" t="str">
        <f t="shared" si="3"/>
        <v/>
      </c>
      <c r="G23" s="20" t="str">
        <f t="shared" si="3"/>
        <v/>
      </c>
      <c r="H23" s="20" t="str">
        <f t="shared" si="3"/>
        <v/>
      </c>
      <c r="I23" s="34" t="str">
        <f t="shared" si="3"/>
        <v/>
      </c>
      <c r="J23" s="36" t="str">
        <f>IFERROR(AVERAGE(J14:J20),"")</f>
        <v/>
      </c>
      <c r="K23" s="20" t="str">
        <f>IFERROR(AVERAGE(K14:K20),"")</f>
        <v/>
      </c>
      <c r="L23" s="20" t="str">
        <f>IFERROR(AVERAGE(L14:L20),"")</f>
        <v/>
      </c>
      <c r="M23" s="20" t="str">
        <f>IFERROR(AVERAGE(M14:M20),"")</f>
        <v/>
      </c>
      <c r="N23" s="20" t="str">
        <f t="shared" si="3"/>
        <v/>
      </c>
      <c r="O23" s="20" t="str">
        <f>IFERROR(AVERAGE(O14:O20),"")</f>
        <v/>
      </c>
      <c r="P23" s="20" t="str">
        <f>IFERROR(AVERAGE(P14:P20),"")</f>
        <v/>
      </c>
      <c r="Q23" s="3"/>
    </row>
    <row r="24" spans="1:21" x14ac:dyDescent="0.35">
      <c r="A24" s="4" t="s">
        <v>5</v>
      </c>
      <c r="B24" s="12" t="str">
        <f>IFERROR(-(B22-B23)/B22,"")</f>
        <v/>
      </c>
      <c r="C24" s="12" t="str">
        <f>IFERROR(-(C22-C23)/C22,"")</f>
        <v/>
      </c>
      <c r="D24" s="12" t="str">
        <f t="shared" ref="D24:N24" si="4">IFERROR(-(D22-D23)/D22,"")</f>
        <v/>
      </c>
      <c r="E24" s="12" t="str">
        <f t="shared" si="4"/>
        <v/>
      </c>
      <c r="F24" s="12" t="str">
        <f>IFERROR(-(F22-F23)/F22,"")</f>
        <v/>
      </c>
      <c r="G24" s="12" t="str">
        <f>IFERROR(-(G22-G23)/G22,"")</f>
        <v/>
      </c>
      <c r="H24" s="12" t="str">
        <f>IFERROR(-(H22-H23)/H22,"")</f>
        <v/>
      </c>
      <c r="I24" s="35" t="str">
        <f>IFERROR(-(I22-I23)/I22,"")</f>
        <v/>
      </c>
      <c r="J24" s="37" t="str">
        <f>IFERROR(-(J22-J23)/J22,"")</f>
        <v/>
      </c>
      <c r="K24" s="12" t="str">
        <f t="shared" si="4"/>
        <v/>
      </c>
      <c r="L24" s="12" t="str">
        <f>IFERROR(-(L22-L23)/L22,"")</f>
        <v/>
      </c>
      <c r="M24" s="12" t="str">
        <f>IFERROR(-(M22-M23)/M22,"")</f>
        <v/>
      </c>
      <c r="N24" s="12" t="str">
        <f t="shared" si="4"/>
        <v/>
      </c>
      <c r="O24" s="12" t="str">
        <f>IFERROR(-(O22-O23)/O22,"")</f>
        <v/>
      </c>
      <c r="P24" s="12" t="str">
        <f>IFERROR(-(P22-P23)/P22,"")</f>
        <v/>
      </c>
    </row>
    <row r="25" spans="1:21" x14ac:dyDescent="0.35">
      <c r="B25" s="51" t="s">
        <v>28</v>
      </c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</row>
    <row r="26" spans="1:21" x14ac:dyDescent="0.35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</row>
    <row r="27" spans="1:21" x14ac:dyDescent="0.35">
      <c r="A27" s="1"/>
      <c r="B27" s="53" t="s">
        <v>12</v>
      </c>
      <c r="C27" s="54"/>
      <c r="D27" s="54"/>
      <c r="E27" s="54"/>
      <c r="F27" s="54"/>
      <c r="G27" s="54"/>
      <c r="H27" s="54"/>
      <c r="I27" s="60"/>
      <c r="J27" s="55" t="s">
        <v>13</v>
      </c>
      <c r="K27" s="56"/>
      <c r="L27" s="56"/>
      <c r="M27" s="56"/>
      <c r="N27" s="56"/>
      <c r="O27" s="56"/>
      <c r="P27" s="57"/>
    </row>
    <row r="28" spans="1:21" x14ac:dyDescent="0.35">
      <c r="A28" s="1"/>
      <c r="B28" s="9" t="s">
        <v>6</v>
      </c>
      <c r="C28" s="9" t="s">
        <v>7</v>
      </c>
      <c r="D28" s="9" t="s">
        <v>8</v>
      </c>
      <c r="E28" s="9" t="s">
        <v>10</v>
      </c>
      <c r="F28" s="9" t="s">
        <v>16</v>
      </c>
      <c r="G28" s="9" t="s">
        <v>19</v>
      </c>
      <c r="H28" s="9" t="s">
        <v>14</v>
      </c>
      <c r="I28" s="24" t="s">
        <v>17</v>
      </c>
      <c r="J28" s="26" t="s">
        <v>18</v>
      </c>
      <c r="K28" s="9" t="s">
        <v>15</v>
      </c>
      <c r="L28" s="9" t="s">
        <v>20</v>
      </c>
      <c r="M28" s="9" t="s">
        <v>14</v>
      </c>
      <c r="N28" s="9" t="s">
        <v>9</v>
      </c>
      <c r="O28" s="9" t="s">
        <v>11</v>
      </c>
      <c r="P28" s="9" t="s">
        <v>17</v>
      </c>
      <c r="Q28" s="3"/>
    </row>
    <row r="29" spans="1:21" x14ac:dyDescent="0.35">
      <c r="A29" s="4" t="s">
        <v>0</v>
      </c>
      <c r="B29" s="21">
        <v>995</v>
      </c>
      <c r="C29" s="21">
        <v>475</v>
      </c>
      <c r="D29" s="21">
        <v>85</v>
      </c>
      <c r="E29" s="21">
        <v>250</v>
      </c>
      <c r="F29" s="21"/>
      <c r="G29" s="21">
        <v>40</v>
      </c>
      <c r="H29" s="21">
        <v>9</v>
      </c>
      <c r="I29" s="38">
        <v>0.1</v>
      </c>
      <c r="J29" s="39">
        <v>0</v>
      </c>
      <c r="K29" s="21"/>
      <c r="L29" s="21">
        <v>30</v>
      </c>
      <c r="M29" s="21">
        <v>9</v>
      </c>
      <c r="N29" s="21">
        <v>1400</v>
      </c>
      <c r="O29" s="21">
        <v>200</v>
      </c>
      <c r="P29" s="22">
        <v>0.1</v>
      </c>
      <c r="Q29" s="3"/>
    </row>
    <row r="30" spans="1:21" x14ac:dyDescent="0.35">
      <c r="A30" s="4" t="s">
        <v>1</v>
      </c>
      <c r="B30" s="10" t="str">
        <f t="shared" ref="B30:P30" si="5">IFERROR(AVERAGE(B$34:B$36),"")</f>
        <v/>
      </c>
      <c r="C30" s="10" t="str">
        <f t="shared" si="5"/>
        <v/>
      </c>
      <c r="D30" s="10" t="str">
        <f t="shared" si="5"/>
        <v/>
      </c>
      <c r="E30" s="10" t="str">
        <f t="shared" si="5"/>
        <v/>
      </c>
      <c r="F30" s="10" t="str">
        <f t="shared" si="5"/>
        <v/>
      </c>
      <c r="G30" s="10" t="str">
        <f t="shared" si="5"/>
        <v/>
      </c>
      <c r="H30" s="10" t="str">
        <f t="shared" si="5"/>
        <v/>
      </c>
      <c r="I30" s="25" t="str">
        <f t="shared" si="5"/>
        <v/>
      </c>
      <c r="J30" s="27" t="str">
        <f t="shared" si="5"/>
        <v/>
      </c>
      <c r="K30" s="10" t="str">
        <f t="shared" si="5"/>
        <v/>
      </c>
      <c r="L30" s="10" t="str">
        <f t="shared" si="5"/>
        <v/>
      </c>
      <c r="M30" s="10" t="str">
        <f t="shared" si="5"/>
        <v/>
      </c>
      <c r="N30" s="10" t="str">
        <f t="shared" si="5"/>
        <v/>
      </c>
      <c r="O30" s="10" t="str">
        <f t="shared" si="5"/>
        <v/>
      </c>
      <c r="P30" s="10" t="str">
        <f t="shared" si="5"/>
        <v/>
      </c>
      <c r="Q30" s="3"/>
    </row>
    <row r="31" spans="1:21" x14ac:dyDescent="0.35">
      <c r="A31" s="4" t="s">
        <v>2</v>
      </c>
      <c r="B31" s="10" t="str">
        <f>IFERROR(AVERAGE(B$37:B$40),"")</f>
        <v/>
      </c>
      <c r="C31" s="10" t="str">
        <f t="shared" ref="C31:P31" si="6">IFERROR(AVERAGE(C$37:C$40),"")</f>
        <v/>
      </c>
      <c r="D31" s="10" t="str">
        <f t="shared" si="6"/>
        <v/>
      </c>
      <c r="E31" s="10" t="str">
        <f t="shared" si="6"/>
        <v/>
      </c>
      <c r="F31" s="10" t="str">
        <f t="shared" si="6"/>
        <v/>
      </c>
      <c r="G31" s="10" t="str">
        <f t="shared" si="6"/>
        <v/>
      </c>
      <c r="H31" s="10" t="str">
        <f t="shared" si="6"/>
        <v/>
      </c>
      <c r="I31" s="25" t="str">
        <f t="shared" si="6"/>
        <v/>
      </c>
      <c r="J31" s="27" t="str">
        <f t="shared" si="6"/>
        <v/>
      </c>
      <c r="K31" s="10" t="str">
        <f t="shared" si="6"/>
        <v/>
      </c>
      <c r="L31" s="10" t="str">
        <f t="shared" si="6"/>
        <v/>
      </c>
      <c r="M31" s="10" t="str">
        <f t="shared" si="6"/>
        <v/>
      </c>
      <c r="N31" s="10" t="str">
        <f t="shared" si="6"/>
        <v/>
      </c>
      <c r="O31" s="10" t="str">
        <f t="shared" si="6"/>
        <v/>
      </c>
      <c r="P31" s="10" t="str">
        <f t="shared" si="6"/>
        <v/>
      </c>
      <c r="Q31" s="3"/>
    </row>
    <row r="32" spans="1:21" x14ac:dyDescent="0.35">
      <c r="A32" s="4" t="s">
        <v>25</v>
      </c>
      <c r="B32" s="20" t="str">
        <f t="shared" ref="B32:P32" si="7">IFERROR(ABS(B$31-B$30), "")</f>
        <v/>
      </c>
      <c r="C32" s="20" t="str">
        <f t="shared" si="7"/>
        <v/>
      </c>
      <c r="D32" s="20" t="str">
        <f t="shared" si="7"/>
        <v/>
      </c>
      <c r="E32" s="20" t="str">
        <f t="shared" si="7"/>
        <v/>
      </c>
      <c r="F32" s="20" t="str">
        <f t="shared" si="7"/>
        <v/>
      </c>
      <c r="G32" s="20" t="str">
        <f t="shared" si="7"/>
        <v/>
      </c>
      <c r="H32" s="20" t="str">
        <f t="shared" si="7"/>
        <v/>
      </c>
      <c r="I32" s="34" t="str">
        <f t="shared" si="7"/>
        <v/>
      </c>
      <c r="J32" s="36" t="str">
        <f t="shared" si="7"/>
        <v/>
      </c>
      <c r="K32" s="20" t="str">
        <f t="shared" si="7"/>
        <v/>
      </c>
      <c r="L32" s="20" t="str">
        <f t="shared" si="7"/>
        <v/>
      </c>
      <c r="M32" s="20" t="str">
        <f t="shared" si="7"/>
        <v/>
      </c>
      <c r="N32" s="20" t="str">
        <f t="shared" si="7"/>
        <v/>
      </c>
      <c r="O32" s="20" t="str">
        <f t="shared" si="7"/>
        <v/>
      </c>
      <c r="P32" s="20" t="str">
        <f t="shared" si="7"/>
        <v/>
      </c>
      <c r="Q32" s="50"/>
    </row>
    <row r="33" spans="1:18" x14ac:dyDescent="0.3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x14ac:dyDescent="0.35">
      <c r="A34" s="23"/>
      <c r="B34" s="13"/>
      <c r="C34" s="13"/>
      <c r="D34" s="13"/>
      <c r="E34" s="13"/>
      <c r="F34" s="14"/>
      <c r="G34" s="13"/>
      <c r="H34" s="13"/>
      <c r="I34" s="28"/>
      <c r="J34" s="31"/>
      <c r="K34" s="14"/>
      <c r="L34" s="13"/>
      <c r="M34" s="13"/>
      <c r="N34" s="13"/>
      <c r="O34" s="13"/>
      <c r="P34" s="13"/>
      <c r="Q34" s="3"/>
    </row>
    <row r="35" spans="1:18" x14ac:dyDescent="0.35">
      <c r="A35" s="23"/>
      <c r="B35" s="13"/>
      <c r="C35" s="13"/>
      <c r="D35" s="13"/>
      <c r="E35" s="13"/>
      <c r="F35" s="14"/>
      <c r="G35" s="13"/>
      <c r="H35" s="13"/>
      <c r="I35" s="28"/>
      <c r="J35" s="31"/>
      <c r="K35" s="14"/>
      <c r="L35" s="13"/>
      <c r="M35" s="13"/>
      <c r="N35" s="13"/>
      <c r="O35" s="13"/>
      <c r="P35" s="13"/>
      <c r="Q35" s="3"/>
    </row>
    <row r="36" spans="1:18" x14ac:dyDescent="0.35">
      <c r="A36" s="23"/>
      <c r="B36" s="13"/>
      <c r="C36" s="13"/>
      <c r="D36" s="13"/>
      <c r="E36" s="13"/>
      <c r="F36" s="14"/>
      <c r="G36" s="13"/>
      <c r="H36" s="13"/>
      <c r="I36" s="28"/>
      <c r="J36" s="31"/>
      <c r="K36" s="14"/>
      <c r="L36" s="13"/>
      <c r="M36" s="13"/>
      <c r="N36" s="13"/>
      <c r="O36" s="13"/>
      <c r="P36" s="13"/>
      <c r="Q36" s="3"/>
    </row>
    <row r="37" spans="1:18" x14ac:dyDescent="0.35">
      <c r="A37" s="23"/>
      <c r="B37" s="17"/>
      <c r="C37" s="17"/>
      <c r="D37" s="17"/>
      <c r="E37" s="17"/>
      <c r="F37" s="18"/>
      <c r="G37" s="17"/>
      <c r="H37" s="17"/>
      <c r="I37" s="29"/>
      <c r="J37" s="32"/>
      <c r="K37" s="18"/>
      <c r="L37" s="17"/>
      <c r="M37" s="17"/>
      <c r="N37" s="17"/>
      <c r="O37" s="17"/>
      <c r="P37" s="17"/>
      <c r="Q37" s="3"/>
    </row>
    <row r="38" spans="1:18" x14ac:dyDescent="0.35">
      <c r="A38" s="23"/>
      <c r="B38" s="15"/>
      <c r="C38" s="15"/>
      <c r="D38" s="15"/>
      <c r="E38" s="15"/>
      <c r="F38" s="16"/>
      <c r="G38" s="15"/>
      <c r="H38" s="15"/>
      <c r="I38" s="30"/>
      <c r="J38" s="33"/>
      <c r="K38" s="16"/>
      <c r="L38" s="15"/>
      <c r="M38" s="15"/>
      <c r="N38" s="15"/>
      <c r="O38" s="15"/>
      <c r="P38" s="15"/>
      <c r="Q38" s="3"/>
    </row>
    <row r="39" spans="1:18" x14ac:dyDescent="0.35">
      <c r="A39" s="23"/>
      <c r="B39" s="15"/>
      <c r="C39" s="15"/>
      <c r="D39" s="15"/>
      <c r="E39" s="15"/>
      <c r="F39" s="16"/>
      <c r="G39" s="15"/>
      <c r="H39" s="15"/>
      <c r="I39" s="30"/>
      <c r="J39" s="33"/>
      <c r="K39" s="16"/>
      <c r="L39" s="15"/>
      <c r="M39" s="15"/>
      <c r="N39" s="15"/>
      <c r="O39" s="15"/>
      <c r="P39" s="15"/>
      <c r="Q39" s="3"/>
    </row>
    <row r="40" spans="1:18" x14ac:dyDescent="0.35">
      <c r="A40" s="23"/>
      <c r="B40" s="15"/>
      <c r="C40" s="15"/>
      <c r="D40" s="15"/>
      <c r="E40" s="15"/>
      <c r="F40" s="16"/>
      <c r="G40" s="15"/>
      <c r="H40" s="15"/>
      <c r="I40" s="30"/>
      <c r="J40" s="33"/>
      <c r="K40" s="16"/>
      <c r="L40" s="15"/>
      <c r="M40" s="15"/>
      <c r="N40" s="15"/>
      <c r="O40" s="15"/>
      <c r="P40" s="15"/>
      <c r="Q40" s="3"/>
    </row>
    <row r="41" spans="1:18" x14ac:dyDescent="0.35">
      <c r="A41" s="4"/>
      <c r="B41" s="41"/>
      <c r="C41" s="41"/>
      <c r="D41" s="41"/>
      <c r="E41" s="41"/>
      <c r="F41" s="7"/>
      <c r="G41" s="41"/>
      <c r="H41" s="41"/>
      <c r="I41" s="41"/>
      <c r="J41" s="41"/>
      <c r="K41" s="7"/>
      <c r="L41" s="41"/>
      <c r="M41" s="41"/>
      <c r="N41" s="41"/>
      <c r="O41" s="41"/>
      <c r="P41" s="41"/>
      <c r="Q41" s="3"/>
    </row>
    <row r="42" spans="1:18" x14ac:dyDescent="0.35">
      <c r="A42" s="4" t="s">
        <v>3</v>
      </c>
      <c r="B42" s="20"/>
      <c r="C42" s="20"/>
      <c r="D42" s="20"/>
      <c r="E42" s="20"/>
      <c r="F42" s="20"/>
      <c r="G42" s="20"/>
      <c r="H42" s="20"/>
      <c r="I42" s="34"/>
      <c r="J42" s="36"/>
      <c r="K42" s="20"/>
      <c r="L42" s="20"/>
      <c r="M42" s="20"/>
      <c r="N42" s="20"/>
      <c r="O42" s="20"/>
      <c r="P42" s="20"/>
      <c r="Q42" s="3"/>
    </row>
    <row r="43" spans="1:18" x14ac:dyDescent="0.35">
      <c r="A43" s="4" t="s">
        <v>4</v>
      </c>
      <c r="B43" s="20" t="str">
        <f>IFERROR(AVERAGE(B34:B40),"")</f>
        <v/>
      </c>
      <c r="C43" s="20" t="str">
        <f>IFERROR(AVERAGE(C34:C40),"")</f>
        <v/>
      </c>
      <c r="D43" s="20" t="str">
        <f>IFERROR(AVERAGE(D34:D40),"")</f>
        <v/>
      </c>
      <c r="E43" s="20" t="str">
        <f>IFERROR(AVERAGE(E34:E40),"")</f>
        <v/>
      </c>
      <c r="F43" s="20" t="str">
        <f t="shared" ref="F43:N43" si="8">IFERROR(AVERAGE(F34:F40),"")</f>
        <v/>
      </c>
      <c r="G43" s="20" t="str">
        <f t="shared" si="8"/>
        <v/>
      </c>
      <c r="H43" s="20" t="str">
        <f t="shared" si="8"/>
        <v/>
      </c>
      <c r="I43" s="34" t="str">
        <f t="shared" si="8"/>
        <v/>
      </c>
      <c r="J43" s="36" t="str">
        <f>IFERROR(AVERAGE(J34:J40),"")</f>
        <v/>
      </c>
      <c r="K43" s="20" t="str">
        <f>IFERROR(AVERAGE(K34:K40),"")</f>
        <v/>
      </c>
      <c r="L43" s="20" t="str">
        <f>IFERROR(AVERAGE(L34:L40),"")</f>
        <v/>
      </c>
      <c r="M43" s="20" t="str">
        <f>IFERROR(AVERAGE(M34:M40),"")</f>
        <v/>
      </c>
      <c r="N43" s="20" t="str">
        <f t="shared" si="8"/>
        <v/>
      </c>
      <c r="O43" s="20" t="str">
        <f>IFERROR(AVERAGE(O34:O40),"")</f>
        <v/>
      </c>
      <c r="P43" s="20" t="str">
        <f>IFERROR(AVERAGE(P34:P40),"")</f>
        <v/>
      </c>
      <c r="Q43" s="3"/>
    </row>
    <row r="44" spans="1:18" x14ac:dyDescent="0.35">
      <c r="A44" s="4" t="s">
        <v>5</v>
      </c>
      <c r="B44" s="12" t="str">
        <f>IFERROR((B43-B42)/B42,"")</f>
        <v/>
      </c>
      <c r="C44" s="12" t="str">
        <f>IFERROR(-(C42-C43)/C42,"")</f>
        <v/>
      </c>
      <c r="D44" s="12" t="str">
        <f t="shared" ref="D44:N44" si="9">IFERROR(-(D42-D43)/D42,"")</f>
        <v/>
      </c>
      <c r="E44" s="12" t="str">
        <f t="shared" si="9"/>
        <v/>
      </c>
      <c r="F44" s="12" t="str">
        <f>IFERROR(-(F42-F43)/F42,"")</f>
        <v/>
      </c>
      <c r="G44" s="12" t="str">
        <f>IFERROR(-(G42-G43)/G42,"")</f>
        <v/>
      </c>
      <c r="H44" s="12" t="str">
        <f>IFERROR(-(H42-H43)/H42,"")</f>
        <v/>
      </c>
      <c r="I44" s="35" t="str">
        <f>IFERROR(-(I42-I43)/I42,"")</f>
        <v/>
      </c>
      <c r="J44" s="37" t="str">
        <f>IFERROR(-(J42-J43)/J42,"")</f>
        <v/>
      </c>
      <c r="K44" s="12" t="str">
        <f t="shared" si="9"/>
        <v/>
      </c>
      <c r="L44" s="12" t="str">
        <f>IFERROR(-(L42-L43)/L42,"")</f>
        <v/>
      </c>
      <c r="M44" s="12" t="str">
        <f>IFERROR(-(M42-M43)/M42,"")</f>
        <v/>
      </c>
      <c r="N44" s="12" t="str">
        <f t="shared" si="9"/>
        <v/>
      </c>
      <c r="O44" s="12" t="str">
        <f>IFERROR(-(O42-O43)/O42,"")</f>
        <v/>
      </c>
      <c r="P44" s="12" t="str">
        <f>IFERROR(-(P42-P43)/P42,"")</f>
        <v/>
      </c>
    </row>
    <row r="45" spans="1:18" x14ac:dyDescent="0.35">
      <c r="B45" s="2" t="s">
        <v>29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B5" r:id="rId1" display="*Guide to download data click here"/>
  </hyperlinks>
  <pageMargins left="0.7" right="0.7" top="0.75" bottom="0.75" header="0.3" footer="0.3"/>
  <pageSetup paperSize="256"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Human error report</vt:lpstr>
      <vt:lpstr>Report Generator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2020-09-28T20:17:24Z</dcterms:modified>
</cp:coreProperties>
</file>